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tlgnoida-my.sharepoint.com/personal/manivannan_n_coforge_com/Documents/Clients/BHSI/"/>
    </mc:Choice>
  </mc:AlternateContent>
  <xr:revisionPtr revIDLastSave="118" documentId="8_{A28F56CB-8C66-4EED-A23D-25BC0B89B507}" xr6:coauthVersionLast="47" xr6:coauthVersionMax="47" xr10:uidLastSave="{E047A7DE-956F-46FB-8DDE-E9D9DF1D58DF}"/>
  <bookViews>
    <workbookView xWindow="28680" yWindow="-120" windowWidth="29040" windowHeight="15720" xr2:uid="{00000000-000D-0000-FFFF-FFFF00000000}"/>
  </bookViews>
  <sheets>
    <sheet name="Broker Portal Project Plan" sheetId="1" r:id="rId1"/>
    <sheet name="Project Overview" sheetId="2" r:id="rId2"/>
    <sheet name="Requirements Traceability" sheetId="3" r:id="rId3"/>
    <sheet name="RAID &amp; Decis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B5" i="2"/>
  <c r="B6" i="2"/>
  <c r="B7" i="2"/>
  <c r="B8" i="2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<sst xmlns="http://schemas.openxmlformats.org/spreadsheetml/2006/main" count="1952" uniqueCount="825">
  <si>
    <t>WBS</t>
  </si>
  <si>
    <t>Task Name</t>
  </si>
  <si>
    <t>Start Date</t>
  </si>
  <si>
    <t>End Date</t>
  </si>
  <si>
    <t>Owner</t>
  </si>
  <si>
    <t>Dependencies</t>
  </si>
  <si>
    <t>Status</t>
  </si>
  <si>
    <t>-</t>
  </si>
  <si>
    <t>Not Started</t>
  </si>
  <si>
    <t>Security Architect</t>
  </si>
  <si>
    <t>DBA</t>
  </si>
  <si>
    <t>Backend Lead</t>
  </si>
  <si>
    <t>Integration Lead</t>
  </si>
  <si>
    <t>QA Lead</t>
  </si>
  <si>
    <t>Business Users</t>
  </si>
  <si>
    <t>Support Lead</t>
  </si>
  <si>
    <t>Steering Committee</t>
  </si>
  <si>
    <t>Release Manager</t>
  </si>
  <si>
    <t>Workstream</t>
  </si>
  <si>
    <t>Deliverable / Exit Criteria</t>
  </si>
  <si>
    <t>Workdays</t>
  </si>
  <si>
    <t>Requirement / Decision IDs</t>
  </si>
  <si>
    <t>Phase Gate</t>
  </si>
  <si>
    <t>% Complete</t>
  </si>
  <si>
    <t>Implementation Notes</t>
  </si>
  <si>
    <t>Milestone</t>
  </si>
  <si>
    <t>Discovery &amp; Governance</t>
  </si>
  <si>
    <t>Confirm executive sponsor and product ownership</t>
  </si>
  <si>
    <t>Named accountable sponsor, product owner and decision rights</t>
  </si>
  <si>
    <t>Program Manager</t>
  </si>
  <si>
    <t>Gate 0</t>
  </si>
  <si>
    <t>No</t>
  </si>
  <si>
    <t>Approve project charter and scope boundaries</t>
  </si>
  <si>
    <t>Signed charter covering four modules and Duck Creek system-of-record boundary</t>
  </si>
  <si>
    <t>Sponsor / Product Owner</t>
  </si>
  <si>
    <t>Establish governance forums and cadence</t>
  </si>
  <si>
    <t>SteerCo, architecture, security, data, AI governance and change-control calendar</t>
  </si>
  <si>
    <t>Baseline stakeholder and persona map</t>
  </si>
  <si>
    <t>External Broker, Broker Admin, Underwriter, Operations, Guideline Admin, Support personas approved</t>
  </si>
  <si>
    <t>Business Architect</t>
  </si>
  <si>
    <t>Confirm Release 1 product, state and journey scope</t>
  </si>
  <si>
    <t>OD-001 decision recorded with explicit inclusions and exclusions</t>
  </si>
  <si>
    <t>Product Owner</t>
  </si>
  <si>
    <t>OD-001</t>
  </si>
  <si>
    <t>Discover Duck Creek products, versions and services</t>
  </si>
  <si>
    <t>API catalogue, environments, authentication, limits and owners documented</t>
  </si>
  <si>
    <t>Integration Architect</t>
  </si>
  <si>
    <t>OD-002,OD-009</t>
  </si>
  <si>
    <t>Confirm broker and producer source of truth</t>
  </si>
  <si>
    <t>Authority and synchronization model approved</t>
  </si>
  <si>
    <t>Data Architect</t>
  </si>
  <si>
    <t>OD-003</t>
  </si>
  <si>
    <t>Confirm Auth0 tenant and federation policies</t>
  </si>
  <si>
    <t>Tenant, organizations, connections, MFA, session and invitation policies approved</t>
  </si>
  <si>
    <t>IAM Architect</t>
  </si>
  <si>
    <t>OD-004</t>
  </si>
  <si>
    <t>Confirm AI platform and content services</t>
  </si>
  <si>
    <t>Model, search/vector, repository, moderation and retention services approved</t>
  </si>
  <si>
    <t>AI Architect</t>
  </si>
  <si>
    <t>OD-005</t>
  </si>
  <si>
    <t>Approve guideline content governance</t>
  </si>
  <si>
    <t>Owners, reviewers, effective dating, supersession and emergency correction workflow approved</t>
  </si>
  <si>
    <t>Underwriting Product Owner</t>
  </si>
  <si>
    <t>OD-006</t>
  </si>
  <si>
    <t>Approve moratorium operating model</t>
  </si>
  <si>
    <t>Authority, scope, precedence, exceptions, communications, lifting and fail-safe decisions approved</t>
  </si>
  <si>
    <t>Business Operations Lead</t>
  </si>
  <si>
    <t>OD-007,OD-008</t>
  </si>
  <si>
    <t>Set NFR baselines and support model</t>
  </si>
  <si>
    <t>Approved SLOs, volumes, RTO/RPO, retention, support hours and browser matrix</t>
  </si>
  <si>
    <t>Solution Architect</t>
  </si>
  <si>
    <t>OD-010,NFR-001,NFR-002,NFR-003,NFR-008,NFR-011</t>
  </si>
  <si>
    <t>Create requirement traceability baseline</t>
  </si>
  <si>
    <t>All 68 functional/NFR requirements mapped to increments, tests and owners</t>
  </si>
  <si>
    <t>Lead BA</t>
  </si>
  <si>
    <t>0.5,0.6,0.8,0.9,0.10,0.11,0.12</t>
  </si>
  <si>
    <t>Gate 0: Discovery and scope approval</t>
  </si>
  <si>
    <t>SteerCo approves scope, architecture discovery plan and delivery baseline</t>
  </si>
  <si>
    <t>Yes</t>
  </si>
  <si>
    <t>Architecture &amp; Platform</t>
  </si>
  <si>
    <t>Define target logical architecture</t>
  </si>
  <si>
    <t>Approved context, container and component views for portal, APIs, data and integrations</t>
  </si>
  <si>
    <t>0.6,0.7,0.8,0.9</t>
  </si>
  <si>
    <t>Gate 1</t>
  </si>
  <si>
    <t>Define modular application boundaries</t>
  </si>
  <si>
    <t>Module ownership, contracts and deployment boundaries approved</t>
  </si>
  <si>
    <t>NFR-010</t>
  </si>
  <si>
    <t>Define canonical data model</t>
  </si>
  <si>
    <t>Identity, guideline, moratorium, submission and operations domains modeled</t>
  </si>
  <si>
    <t>Define API and error standards</t>
  </si>
  <si>
    <t>Versioning, OAuth scopes, validation, Problem Details, pagination and payload standards</t>
  </si>
  <si>
    <t>API Architect</t>
  </si>
  <si>
    <t>NFR-004,NFR-007</t>
  </si>
  <si>
    <t>Threat model all four modules</t>
  </si>
  <si>
    <t>Threats, mitigations, abuse cases and security backlog approved</t>
  </si>
  <si>
    <t>NFR-004,NFR-005,NFR-012</t>
  </si>
  <si>
    <t>Define privacy and records controls</t>
  </si>
  <si>
    <t>Classification, minimization, retention, deletion, legal hold and support-access rules</t>
  </si>
  <si>
    <t>Privacy Lead</t>
  </si>
  <si>
    <t>NFR-005</t>
  </si>
  <si>
    <t>Define accessibility and UX standards</t>
  </si>
  <si>
    <t>WCAG 2.2 AA patterns, supported devices and design-system acceptance checklist</t>
  </si>
  <si>
    <t>UX Lead</t>
  </si>
  <si>
    <t>NFR-006,NFR-011</t>
  </si>
  <si>
    <t>Provision development and test environments</t>
  </si>
  <si>
    <t>Dev, integration, QA, security, performance and UAT environments available</t>
  </si>
  <si>
    <t>Cloud / DevOps Lead</t>
  </si>
  <si>
    <t>Create repositories and branching strategy</t>
  </si>
  <si>
    <t>Source repositories, ownership, branch protections and pull-request templates active</t>
  </si>
  <si>
    <t>DevOps Lead</t>
  </si>
  <si>
    <t>Implement CI quality pipeline</t>
  </si>
  <si>
    <t>Build, unit tests, linting, SAST, SCA and artifact versioning automated</t>
  </si>
  <si>
    <t>NFR-004,NFR-010</t>
  </si>
  <si>
    <t>Implement CD and configuration promotion</t>
  </si>
  <si>
    <t>Environment approvals, secret references, rollback and release evidence automated</t>
  </si>
  <si>
    <t>1.8,1.10</t>
  </si>
  <si>
    <t>Build Angular portal shell</t>
  </si>
  <si>
    <t>Responsive navigation, route framework, error boundary and design system implemented</t>
  </si>
  <si>
    <t>Frontend Lead</t>
  </si>
  <si>
    <t>1.7,1.9</t>
  </si>
  <si>
    <t>Build ASP.NET Core API foundation</t>
  </si>
  <si>
    <t>API host, dependency injection, validation, correlation and standard errors implemented</t>
  </si>
  <si>
    <t>1.4,1.9</t>
  </si>
  <si>
    <t>NFR-007,NFR-009,NFR-010</t>
  </si>
  <si>
    <t>Build SQL schema and migration baseline</t>
  </si>
  <si>
    <t>Versioned schemas for core domains and deployment rollback scripts</t>
  </si>
  <si>
    <t>1.3,1.9</t>
  </si>
  <si>
    <t>Implement observability foundation</t>
  </si>
  <si>
    <t>Structured logs, traces, metrics, correlation IDs, health checks and dashboards</t>
  </si>
  <si>
    <t>SRE Lead</t>
  </si>
  <si>
    <t>1.11,1.13</t>
  </si>
  <si>
    <t>NFR-009</t>
  </si>
  <si>
    <t>Gate 1: Architecture and platform readiness</t>
  </si>
  <si>
    <t>Architecture, controls, environments and delivery pipelines approved</t>
  </si>
  <si>
    <t>Architecture Review Board</t>
  </si>
  <si>
    <t>1.2,1.5,1.6,1.11,1.12,1.13,1.14,1.15</t>
  </si>
  <si>
    <t>Identity &amp; Access</t>
  </si>
  <si>
    <t>Configure Auth0 tenant baseline</t>
  </si>
  <si>
    <t>Applications, APIs, organizations, connections and environments configured</t>
  </si>
  <si>
    <t>IAM Engineer</t>
  </si>
  <si>
    <t>0.8,1.8</t>
  </si>
  <si>
    <t>BR-AUTH-001,BR-AUTH-002,BR-AUTH-003</t>
  </si>
  <si>
    <t>Gate 2</t>
  </si>
  <si>
    <t>Implement portal OIDC login and logout</t>
  </si>
  <si>
    <t>Auth0-mediated login, callback, token handling and logout policy implemented</t>
  </si>
  <si>
    <t>1.12,2.1</t>
  </si>
  <si>
    <t>BR-AUTH-001,BR-AUTH-003,BR-AUTH-008</t>
  </si>
  <si>
    <t>Implement API token validation</t>
  </si>
  <si>
    <t>Issuer, audience, signing, scope and expiry enforcement with safe errors</t>
  </si>
  <si>
    <t>1.13,2.1</t>
  </si>
  <si>
    <t>BR-AUTH-001,BR-AUTH-005,BR-AUTH-008</t>
  </si>
  <si>
    <t>Implement organization and agency context</t>
  </si>
  <si>
    <t>Organization, branch and producer context resolved and propagated server-side</t>
  </si>
  <si>
    <t>2.3,0.7</t>
  </si>
  <si>
    <t>BR-AUTH-004,BR-AUTH-005</t>
  </si>
  <si>
    <t>Implement RBAC and entitlement policy engine</t>
  </si>
  <si>
    <t>Role, permission, product, agency and resource-ownership authorization enforced</t>
  </si>
  <si>
    <t>BR-AUTH-005</t>
  </si>
  <si>
    <t>Build broker invitation and administration UI</t>
  </si>
  <si>
    <t>Invite, view, update, deactivate and role-change request flows scoped to agency</t>
  </si>
  <si>
    <t>2.2,2.4</t>
  </si>
  <si>
    <t>BR-AUTH-006</t>
  </si>
  <si>
    <t>Implement user lifecycle services</t>
  </si>
  <si>
    <t>Invitation expiry, duplicate detection, JML, dormant account and revocation workflows</t>
  </si>
  <si>
    <t>2.5,2.6</t>
  </si>
  <si>
    <t>BR-AUTH-006,BR-AUTH-008</t>
  </si>
  <si>
    <t>Implement Auth0/portal/Duck Creek provisioning adapter</t>
  </si>
  <si>
    <t>Provisioning, partial-state handling, idempotency and downstream identifiers implemented</t>
  </si>
  <si>
    <t>0.6,2.7</t>
  </si>
  <si>
    <t>BR-AUTH-007,BR-AUTH-010</t>
  </si>
  <si>
    <t>Implement MFA, session and recovery controls</t>
  </si>
  <si>
    <t>MFA, lockout, timeout, recovery, token revocation and IdP outage behavior tested</t>
  </si>
  <si>
    <t>Security Engineer</t>
  </si>
  <si>
    <t>2.1,2.2</t>
  </si>
  <si>
    <t>BR-AUTH-008</t>
  </si>
  <si>
    <t>Implement privileged access controls</t>
  </si>
  <si>
    <t>Separation of duties, reason capture, time-bound support access and evidence implemented</t>
  </si>
  <si>
    <t>BR-AUTH-009</t>
  </si>
  <si>
    <t>Implement identity audit and reconciliation</t>
  </si>
  <si>
    <t>Immutable lifecycle events, provisioning status, retries and reconciliation dashboard</t>
  </si>
  <si>
    <t>SRE / IAM</t>
  </si>
  <si>
    <t>2.8,2.10</t>
  </si>
  <si>
    <t>BR-AUTH-009,BR-AUTH-010</t>
  </si>
  <si>
    <t>Execute identity contract and security tests</t>
  </si>
  <si>
    <t>Federation, authorization boundaries, negative paths, revocation and recovery pass</t>
  </si>
  <si>
    <t>QA / Security</t>
  </si>
  <si>
    <t>2.5,2.8,2.9,2.10</t>
  </si>
  <si>
    <t>BR-AUTH-001:BR-AUTH-010</t>
  </si>
  <si>
    <t>Gate 2: Platform and identity acceptance</t>
  </si>
  <si>
    <t>Approved users authenticate; unauthorized and out-of-scope access is denied and auditable</t>
  </si>
  <si>
    <t>Product Owner / Security</t>
  </si>
  <si>
    <t>2.11,2.12</t>
  </si>
  <si>
    <t>Guideline Content &amp; Search</t>
  </si>
  <si>
    <t>Inventory and classify guideline sources</t>
  </si>
  <si>
    <t>Authoritative documents, owners, sensitivity and applicability metadata catalogued</t>
  </si>
  <si>
    <t>Guideline Product Owner</t>
  </si>
  <si>
    <t>0.10,1.6</t>
  </si>
  <si>
    <t>BR-AI-001,BR-AI-002</t>
  </si>
  <si>
    <t>Gate 3</t>
  </si>
  <si>
    <t>Design content repository and metadata schema</t>
  </si>
  <si>
    <t>Version, product, state, class, coverage, owner, approval and effective-date model approved</t>
  </si>
  <si>
    <t>Data / AI Architect</t>
  </si>
  <si>
    <t>1.3,3.1</t>
  </si>
  <si>
    <t>BR-AI-001,BR-AI-009</t>
  </si>
  <si>
    <t>Build secure upload and malware scanning</t>
  </si>
  <si>
    <t>Approved PDF, Word and spreadsheet upload with validation and quarantine</t>
  </si>
  <si>
    <t>3.2,1.13</t>
  </si>
  <si>
    <t>BR-AI-001,NFR-004</t>
  </si>
  <si>
    <t>Build extraction and normalization pipeline</t>
  </si>
  <si>
    <t>Content extraction, unsupported-element reporting and quality status implemented</t>
  </si>
  <si>
    <t>AI Engineer</t>
  </si>
  <si>
    <t>BR-AI-001</t>
  </si>
  <si>
    <t>Build chunking and secure indexing pipeline</t>
  </si>
  <si>
    <t>Searchable chunks and indexes retain source/version/applicability and ACL metadata</t>
  </si>
  <si>
    <t>3.4,0.9</t>
  </si>
  <si>
    <t>BR-AI-004,BR-AI-005,BR-AI-011</t>
  </si>
  <si>
    <t>Build content review and approval workflow</t>
  </si>
  <si>
    <t>Draft, review, approve, reject and publish states with separation of duties</t>
  </si>
  <si>
    <t>Backend / Frontend</t>
  </si>
  <si>
    <t>3.2,2.5</t>
  </si>
  <si>
    <t>BR-AI-002,BR-AI-009</t>
  </si>
  <si>
    <t>Build publication and supersession controls</t>
  </si>
  <si>
    <t>Effective publication, retirement, supersession, emergency correction and audit history</t>
  </si>
  <si>
    <t>3.5,3.6</t>
  </si>
  <si>
    <t>Build authorized search experience</t>
  </si>
  <si>
    <t>Keyword/filter search by product, state, class, coverage and effective date</t>
  </si>
  <si>
    <t>Frontend / AI</t>
  </si>
  <si>
    <t>3.5,2.5</t>
  </si>
  <si>
    <t>BR-AI-003,BR-AI-004</t>
  </si>
  <si>
    <t>Test content lifecycle and access isolation</t>
  </si>
  <si>
    <t>Publication gates, version retrieval and cross-scope leakage tests pass</t>
  </si>
  <si>
    <t>3.7,3.8</t>
  </si>
  <si>
    <t>BR-AI-001:BR-AI-005,BR-AI-009,BR-AI-011</t>
  </si>
  <si>
    <t>Gate 3: Content and search acceptance</t>
  </si>
  <si>
    <t>Approved content is searchable; draft, retired and unauthorized content is blocked</t>
  </si>
  <si>
    <t>AI Guideline Assistant</t>
  </si>
  <si>
    <t>Define assistant prompts and response contract</t>
  </si>
  <si>
    <t>Answer, evidence, applicability, limitation, next action and notice schema approved</t>
  </si>
  <si>
    <t>AI Product Owner</t>
  </si>
  <si>
    <t>0.9,0.10</t>
  </si>
  <si>
    <t>BR-AI-003:BR-AI-007,BR-AI-012</t>
  </si>
  <si>
    <t>Gate 4</t>
  </si>
  <si>
    <t>Build retrieval orchestration with entitlement filters</t>
  </si>
  <si>
    <t>ACL filtering precedes retrieval and generation for every query</t>
  </si>
  <si>
    <t>3.5,2.5,4.1</t>
  </si>
  <si>
    <t>BR-AI-003,BR-AI-004,BR-AI-011</t>
  </si>
  <si>
    <t>Build grounded answer generation</t>
  </si>
  <si>
    <t>Answers use approved retrieved evidence and preserve applicability/version context</t>
  </si>
  <si>
    <t>BR-AI-004,BR-AI-005</t>
  </si>
  <si>
    <t>Implement citation rendering and source navigation</t>
  </si>
  <si>
    <t>Document, locator, version and effective date displayed and accessible</t>
  </si>
  <si>
    <t>3.8,4.3</t>
  </si>
  <si>
    <t>BR-AI-005</t>
  </si>
  <si>
    <t>Implement refusal and escalation flow</t>
  </si>
  <si>
    <t>Missing, conflicting, stale or ambiguous evidence produces bounded refusal and owner escalation</t>
  </si>
  <si>
    <t>AI / Frontend</t>
  </si>
  <si>
    <t>BR-AI-006,BR-AI-007</t>
  </si>
  <si>
    <t>Implement disclaimer and feedback capture</t>
  </si>
  <si>
    <t>Informational-use notice plus usefulness, issue category and comments captured</t>
  </si>
  <si>
    <t>BR-AI-008,BR-AI-012</t>
  </si>
  <si>
    <t>Implement privacy-safe interaction records</t>
  </si>
  <si>
    <t>Question, sources, response, feedback and correlation retained under policy</t>
  </si>
  <si>
    <t>1.6,4.3</t>
  </si>
  <si>
    <t>BR-AI-010</t>
  </si>
  <si>
    <t>Implement prompt-injection and disclosure defenses</t>
  </si>
  <si>
    <t>Document and user-input attacks, unauthorized retrieval and sensitive output controls implemented</t>
  </si>
  <si>
    <t>AI Security Engineer</t>
  </si>
  <si>
    <t>4.2,4.3</t>
  </si>
  <si>
    <t>BR-AI-011,NFR-012</t>
  </si>
  <si>
    <t>Create representative AI evaluation set</t>
  </si>
  <si>
    <t>Eligibility, appetite, exclusions, limits and geographic questions with expected evidence</t>
  </si>
  <si>
    <t>Underwriting SMEs</t>
  </si>
  <si>
    <t>3.1,4.1</t>
  </si>
  <si>
    <t>NFR-012</t>
  </si>
  <si>
    <t>Automate AI quality evaluation</t>
  </si>
  <si>
    <t>Groundedness, citation correctness, relevance, refusal, boundary and latency measures gated</t>
  </si>
  <si>
    <t>AI QA Lead</t>
  </si>
  <si>
    <t>4.3,4.5,4.8,4.9</t>
  </si>
  <si>
    <t>NFR-002,NFR-012</t>
  </si>
  <si>
    <t>Implement configuration lineage and rollback</t>
  </si>
  <si>
    <t>Prompt, model, ranking, chunking and policy changes versioned and reversible</t>
  </si>
  <si>
    <t>MLOps Lead</t>
  </si>
  <si>
    <t>NFR-010,NFR-012</t>
  </si>
  <si>
    <t>Execute red-team and privacy testing</t>
  </si>
  <si>
    <t>Prompt injection, exfiltration, content poisoning and retention tests pass</t>
  </si>
  <si>
    <t>Security / Privacy</t>
  </si>
  <si>
    <t>4.8,4.10,4.11</t>
  </si>
  <si>
    <t>BR-AI-011,NFR-005,NFR-012</t>
  </si>
  <si>
    <t>Gate 4: AI assistant acceptance</t>
  </si>
  <si>
    <t>Citation-backed assistant meets approved quality thresholds and safe-failure rules</t>
  </si>
  <si>
    <t>AI Governance Board</t>
  </si>
  <si>
    <t>4.4,4.5,4.6,4.7,4.12</t>
  </si>
  <si>
    <t>Moratorium Management</t>
  </si>
  <si>
    <t>Approve detailed moratorium decision model</t>
  </si>
  <si>
    <t>Activities, scope dimensions, precedence, in-flight treatment, exceptions and fail-safe policy signed</t>
  </si>
  <si>
    <t>BR-MOR-001:BR-MOR-016</t>
  </si>
  <si>
    <t>Gate 5</t>
  </si>
  <si>
    <t>Design effective-dated scope and version model</t>
  </si>
  <si>
    <t>Product, geography, peril, coverage, risk, distribution and period schema approved</t>
  </si>
  <si>
    <t>Domain / Data Architect</t>
  </si>
  <si>
    <t>5.1,1.3</t>
  </si>
  <si>
    <t>BR-MOR-004,BR-MOR-005,BR-MOR-011</t>
  </si>
  <si>
    <t>Build draft creation and evidence workflow</t>
  </si>
  <si>
    <t>Reason, authority, activity, criteria, period, review, communications and evidence captured</t>
  </si>
  <si>
    <t>Frontend / Backend</t>
  </si>
  <si>
    <t>5.2,2.5</t>
  </si>
  <si>
    <t>BR-MOR-001</t>
  </si>
  <si>
    <t>Build impact preview</t>
  </si>
  <si>
    <t>Affected products, locations, brokers and in-flight transactions estimated before approval</t>
  </si>
  <si>
    <t>Backend / Data</t>
  </si>
  <si>
    <t>5.2,0.6</t>
  </si>
  <si>
    <t>BR-MOR-005,BR-MOR-009</t>
  </si>
  <si>
    <t>Build approval and emergency activation</t>
  </si>
  <si>
    <t>Delegated authority, dual approval, separation of duties and expedited path implemented</t>
  </si>
  <si>
    <t>5.3,2.10</t>
  </si>
  <si>
    <t>BR-MOR-002,BR-MOR-003</t>
  </si>
  <si>
    <t>Build deterministic evaluation engine</t>
  </si>
  <si>
    <t>Priority, specificity and conflict rules produce Allow, Suspend or Refer with reason</t>
  </si>
  <si>
    <t>5.2,5.1</t>
  </si>
  <si>
    <t>BR-MOR-006,BR-MOR-007</t>
  </si>
  <si>
    <t>Integrate evaluation checkpoints</t>
  </si>
  <si>
    <t>Rules execute before configured quote, bind, issue and coverage-changing actions</t>
  </si>
  <si>
    <t>Backend / Integration</t>
  </si>
  <si>
    <t>BR-MOR-008,BR-SC-006</t>
  </si>
  <si>
    <t>Implement in-flight and existing-business treatment</t>
  </si>
  <si>
    <t>Draft, submission, quote, bind, renewal, endorsement and in-force rules enforced</t>
  </si>
  <si>
    <t>BR-MOR-009</t>
  </si>
  <si>
    <t>Implement controlled exception workflow</t>
  </si>
  <si>
    <t>Authority, justification, duration, scope and immutable evidence required</t>
  </si>
  <si>
    <t>5.5,5.6</t>
  </si>
  <si>
    <t>BR-MOR-010</t>
  </si>
  <si>
    <t>Implement lifecycle and complete version history</t>
  </si>
  <si>
    <t>Activate, extend, narrow, supersede and lift while preserving exact historical criteria</t>
  </si>
  <si>
    <t>BR-MOR-011,BR-MOR-015</t>
  </si>
  <si>
    <t>Implement notifications and communications</t>
  </si>
  <si>
    <t>Approved broker/internal messages include scope, period and next steps without restricted data</t>
  </si>
  <si>
    <t>Frontend / Integration</t>
  </si>
  <si>
    <t>BR-MOR-012</t>
  </si>
  <si>
    <t>Build operations dashboard</t>
  </si>
  <si>
    <t>Active, scheduled, expiring, lifted, impacted, exceptions and sync status visible</t>
  </si>
  <si>
    <t>Frontend / Data</t>
  </si>
  <si>
    <t>5.10,5.11</t>
  </si>
  <si>
    <t>BR-MOR-013</t>
  </si>
  <si>
    <t>Build Duck Creek synchronization and reconciliation</t>
  </si>
  <si>
    <t>Activation/lifting synchronization, retries, fail-safe and discrepancy handling implemented</t>
  </si>
  <si>
    <t>0.6,5.10</t>
  </si>
  <si>
    <t>BR-MOR-014,NFR-007</t>
  </si>
  <si>
    <t>Implement expiry and reauthorization scheduler</t>
  </si>
  <si>
    <t>Automatic expiry or periodic reapproval with alerts and audit</t>
  </si>
  <si>
    <t>BR-MOR-015</t>
  </si>
  <si>
    <t>Implement evaluation audit evidence</t>
  </si>
  <si>
    <t>Inputs, evaluated rules, determining rule, outcome, actor, channel, time and correlation recorded</t>
  </si>
  <si>
    <t>Backend / SRE</t>
  </si>
  <si>
    <t>5.6,1.15</t>
  </si>
  <si>
    <t>BR-MOR-016</t>
  </si>
  <si>
    <t>Execute scenario, boundary and catastrophe-volume tests</t>
  </si>
  <si>
    <t>Conflicts, exceptions, timing, geography, fail-safe and peak-volume tests pass</t>
  </si>
  <si>
    <t>QA / Performance</t>
  </si>
  <si>
    <t>5.7,5.8,5.9,5.11,5.12,5.13,5.14,5.15</t>
  </si>
  <si>
    <t>BR-MOR-001:BR-MOR-016,NFR-003</t>
  </si>
  <si>
    <t>Gate 5: Moratorium controls acceptance</t>
  </si>
  <si>
    <t>Authorized lifecycle and consistent portal/Duck Creek enforcement approved</t>
  </si>
  <si>
    <t>Business Operations / Risk</t>
  </si>
  <si>
    <t>Small Commercial Portal</t>
  </si>
  <si>
    <t>Finalize configured products, states and transaction scope</t>
  </si>
  <si>
    <t>Release configuration matrix signed by product, underwriting and compliance</t>
  </si>
  <si>
    <t>0.5,0.6</t>
  </si>
  <si>
    <t>BR-SC-001</t>
  </si>
  <si>
    <t>Gate 6</t>
  </si>
  <si>
    <t>Design canonical submission lifecycle</t>
  </si>
  <si>
    <t>Draft through bound/failed state machine, concurrency, ownership and broker visibility approved</t>
  </si>
  <si>
    <t>Domain Architect</t>
  </si>
  <si>
    <t>1.3,6.1</t>
  </si>
  <si>
    <t>BR-SC-002,BR-SC-013,BR-SC-016</t>
  </si>
  <si>
    <t>Build product discovery and start journey</t>
  </si>
  <si>
    <t>Authorized product/state selection and create/resume entry implemented</t>
  </si>
  <si>
    <t>2.13,6.1</t>
  </si>
  <si>
    <t>BR-SC-001,BR-SC-002</t>
  </si>
  <si>
    <t>Build draft lifecycle and autosave</t>
  </si>
  <si>
    <t>Create, save, resume, copy, withdraw, optimistic concurrency and interruption recovery</t>
  </si>
  <si>
    <t>6.2,6.3</t>
  </si>
  <si>
    <t>BR-SC-002,BR-SC-016</t>
  </si>
  <si>
    <t>Build applicant and party management</t>
  </si>
  <si>
    <t>Search/create insured and contacts with duplicate detection and authority controls</t>
  </si>
  <si>
    <t>6.4,0.7</t>
  </si>
  <si>
    <t>BR-SC-004,BR-SC-005</t>
  </si>
  <si>
    <t>Build dynamic question engine</t>
  </si>
  <si>
    <t>Effective-dated questions driven by product, state, class, coverage and prior answers</t>
  </si>
  <si>
    <t>6.1,6.2</t>
  </si>
  <si>
    <t>BR-SC-003</t>
  </si>
  <si>
    <t>Build risk, location and exposure intake</t>
  </si>
  <si>
    <t>Locations, classifications, exposures and operations data captured with validation</t>
  </si>
  <si>
    <t>Build coverage and history intake</t>
  </si>
  <si>
    <t>Coverages, limits, deductibles, prior insurance and loss details captured</t>
  </si>
  <si>
    <t>Integrate producer authority and eligibility controls</t>
  </si>
  <si>
    <t>Appointment, license, territory, product and transaction authority validated</t>
  </si>
  <si>
    <t>0.7,6.5</t>
  </si>
  <si>
    <t>BR-AUTH-005,BR-SC-005</t>
  </si>
  <si>
    <t>Integrate moratorium controls into journey</t>
  </si>
  <si>
    <t>Re-evaluation occurs on material risk, location, coverage and effective-date changes</t>
  </si>
  <si>
    <t>5.7,6.7,6.8</t>
  </si>
  <si>
    <t>BR-SC-006</t>
  </si>
  <si>
    <t>Build document collection and scanning</t>
  </si>
  <si>
    <t>Type, size, content and malware validation with metadata, version and secure transfer</t>
  </si>
  <si>
    <t>BR-SC-007,NFR-004</t>
  </si>
  <si>
    <t>Build completeness and cross-field validation</t>
  </si>
  <si>
    <t>Required, format, consistency, duplicate and business-rule validation with clear recovery</t>
  </si>
  <si>
    <t>6.7,6.8,6.11</t>
  </si>
  <si>
    <t>BR-SC-005</t>
  </si>
  <si>
    <t>Build role-scoped search and dashboard</t>
  </si>
  <si>
    <t>Draft, submission, quote and policy searches honor agency and role data scopes</t>
  </si>
  <si>
    <t>6.4,2.5</t>
  </si>
  <si>
    <t>BR-SC-015</t>
  </si>
  <si>
    <t>Build Duck Creek submission adapter</t>
  </si>
  <si>
    <t>Create/update submission with correlation, downstream IDs, idempotency and trackable status</t>
  </si>
  <si>
    <t>0.6,6.12</t>
  </si>
  <si>
    <t>BR-SC-008,BR-SC-014</t>
  </si>
  <si>
    <t>Build rating request and quote presentation</t>
  </si>
  <si>
    <t>Approved premium, taxes, fees, coverages, limits, forms, conditions and expiry displayed</t>
  </si>
  <si>
    <t>Integration / Frontend</t>
  </si>
  <si>
    <t>BR-SC-009,BR-SC-010</t>
  </si>
  <si>
    <t>Build referral and information-request workflow</t>
  </si>
  <si>
    <t>Underwriting routing, ownership, SLA, status and broker notifications implemented</t>
  </si>
  <si>
    <t>BR-SC-011</t>
  </si>
  <si>
    <t>Build bind and issue flow</t>
  </si>
  <si>
    <t>Authority, completeness, payment/document prerequisites, moratorium and downstream validation enforced</t>
  </si>
  <si>
    <t>Integration / Backend</t>
  </si>
  <si>
    <t>6.15,6.16,5.17</t>
  </si>
  <si>
    <t>BR-SC-012</t>
  </si>
  <si>
    <t>Build broker-safe status timeline</t>
  </si>
  <si>
    <t>Documents, messages, decisions and transaction history exclude restricted internal detail</t>
  </si>
  <si>
    <t>6.14,6.16</t>
  </si>
  <si>
    <t>BR-SC-013</t>
  </si>
  <si>
    <t>Implement comparative-rater deep links</t>
  </si>
  <si>
    <t>Signed state, authentication, integrity, expiry and replay protection implemented</t>
  </si>
  <si>
    <t>Security / Integration</t>
  </si>
  <si>
    <t>2.13,6.3</t>
  </si>
  <si>
    <t>BR-SC-018</t>
  </si>
  <si>
    <t>Implement end-to-end submission audit</t>
  </si>
  <si>
    <t>Material actions and downstream outcomes recorded with correlation and privacy controls</t>
  </si>
  <si>
    <t>6.14,1.15</t>
  </si>
  <si>
    <t>BR-SC-017</t>
  </si>
  <si>
    <t>Execute Small Commercial integration and journey tests</t>
  </si>
  <si>
    <t>All 12 journey stages, negative paths, authorization and duplicate-prevention tests pass</t>
  </si>
  <si>
    <t>6.10,6.11,6.12,6.13,6.15,6.16,6.17,6.18,6.19,6.20</t>
  </si>
  <si>
    <t>BR-SC-001:BR-SC-018</t>
  </si>
  <si>
    <t>Gate 6: Small Commercial functional acceptance</t>
  </si>
  <si>
    <t>Configured product journey passes from authenticated start through approved bind/issue and tracking</t>
  </si>
  <si>
    <t>Product / Underwriting</t>
  </si>
  <si>
    <t>Integration, Data &amp; Operations</t>
  </si>
  <si>
    <t>Implement integration outbox and async processing</t>
  </si>
  <si>
    <t>Trackable long-running operations, outbox, retries and dead-letter handling implemented</t>
  </si>
  <si>
    <t>1.13,1.14</t>
  </si>
  <si>
    <t>NFR-007</t>
  </si>
  <si>
    <t>Gate 7</t>
  </si>
  <si>
    <t>Implement API idempotency and concurrency controls</t>
  </si>
  <si>
    <t>Retry-sensitive writes prevent duplicates and enforce explicit version checks</t>
  </si>
  <si>
    <t>API Lead</t>
  </si>
  <si>
    <t>1.4,7.1</t>
  </si>
  <si>
    <t>BR-SC-014,NFR-007</t>
  </si>
  <si>
    <t>Implement timeout, circuit breaker and degradation policies</t>
  </si>
  <si>
    <t>External dependency failures produce safe recoverable states</t>
  </si>
  <si>
    <t>Build reconciliation framework</t>
  </si>
  <si>
    <t>Identity, submission and moratorium discrepancies detected, owned and repairable</t>
  </si>
  <si>
    <t>Integration / SRE</t>
  </si>
  <si>
    <t>7.1,7.2</t>
  </si>
  <si>
    <t>BR-AUTH-010,BR-MOR-014,BR-SC-014</t>
  </si>
  <si>
    <t>Build notification service</t>
  </si>
  <si>
    <t>Email and in-app events, templates, preferences and delivery status implemented</t>
  </si>
  <si>
    <t>BR-AI-008,BR-MOR-012,BR-SC-011</t>
  </si>
  <si>
    <t>Build immutable audit service</t>
  </si>
  <si>
    <t>Actor, time, action, object, versions, outcome, channel, reason and correlation captured</t>
  </si>
  <si>
    <t>Backend / Security</t>
  </si>
  <si>
    <t>1.14,1.15</t>
  </si>
  <si>
    <t>BR-AUTH-009,BR-AI-010,BR-MOR-016,BR-SC-017</t>
  </si>
  <si>
    <t>Build business reporting datasets</t>
  </si>
  <si>
    <t>Adoption, guideline, moratorium, conversion, referral and failure metrics available</t>
  </si>
  <si>
    <t>Data Engineer</t>
  </si>
  <si>
    <t>7.4,7.6</t>
  </si>
  <si>
    <t>Build operational dashboards and alerts</t>
  </si>
  <si>
    <t>Identity, Duck Creek, indexing, moratorium, app, DB, capacity and security views active</t>
  </si>
  <si>
    <t>SRE / Data</t>
  </si>
  <si>
    <t>7.4,1.15</t>
  </si>
  <si>
    <t>Create tiered support model and ownership matrix</t>
  </si>
  <si>
    <t>L1/L2/L3 responsibilities, service hours, escalation and communications approved</t>
  </si>
  <si>
    <t>Create operational runbooks</t>
  </si>
  <si>
    <t>Login, provisioning, stuck submission, duplicates, AI issue, moratorium and outage runbooks tested</t>
  </si>
  <si>
    <t>Support / SRE</t>
  </si>
  <si>
    <t>7.8,7.9</t>
  </si>
  <si>
    <t>Implement safe support tooling</t>
  </si>
  <si>
    <t>Delegated access, reason capture, bounded repair actions and audit evidence</t>
  </si>
  <si>
    <t>Support Engineering</t>
  </si>
  <si>
    <t>2.10,7.6</t>
  </si>
  <si>
    <t>Gate 7: Operational readiness baseline</t>
  </si>
  <si>
    <t>Dashboards, alerts, reconciliation, support ownership and runbooks approved</t>
  </si>
  <si>
    <t>Operations Review Board</t>
  </si>
  <si>
    <t>7.7,7.8,7.10,7.11</t>
  </si>
  <si>
    <t>Quality &amp; Release</t>
  </si>
  <si>
    <t>Finalize master test strategy and data plan</t>
  </si>
  <si>
    <t>Functional, negative, contract, E2E, security, accessibility, performance and DR coverage approved</t>
  </si>
  <si>
    <t>Test Manager</t>
  </si>
  <si>
    <t>0.13,1.5,1.7</t>
  </si>
  <si>
    <t>Gate 8</t>
  </si>
  <si>
    <t>Automate unit and component tests</t>
  </si>
  <si>
    <t>Approved code coverage and quality gates enforced in CI</t>
  </si>
  <si>
    <t>Engineering Leads</t>
  </si>
  <si>
    <t>8.1,1.10</t>
  </si>
  <si>
    <t>Automate API contract and compatibility tests</t>
  </si>
  <si>
    <t>Portal and Duck Creek contracts validated for supported versions</t>
  </si>
  <si>
    <t>QA / Integration</t>
  </si>
  <si>
    <t>0.6,8.1</t>
  </si>
  <si>
    <t>Execute system integration testing</t>
  </si>
  <si>
    <t>Cross-module identity, AI, moratorium, submission and operations flows pass</t>
  </si>
  <si>
    <t>4.13,5.17,6.21,7.12</t>
  </si>
  <si>
    <t>BR-AUTH-001:BR-SC-018</t>
  </si>
  <si>
    <t>Execute security and privacy testing</t>
  </si>
  <si>
    <t>SAST/DAST, API, authorization, data leakage, file and privacy controls meet gate</t>
  </si>
  <si>
    <t>8.2,8.3,4.12,6.21</t>
  </si>
  <si>
    <t>Execute accessibility and compatibility testing</t>
  </si>
  <si>
    <t>WCAG 2.2 AA and approved browser/device/assistive matrix results accepted</t>
  </si>
  <si>
    <t>Accessibility QA</t>
  </si>
  <si>
    <t>Execute performance and catastrophe-volume testing</t>
  </si>
  <si>
    <t>p95 targets, concurrency, content and catastrophe peaks meet approved thresholds</t>
  </si>
  <si>
    <t>Performance QA</t>
  </si>
  <si>
    <t>5.16,6.21,7.8</t>
  </si>
  <si>
    <t>NFR-002,NFR-003</t>
  </si>
  <si>
    <t>Execute resilience and recovery testing</t>
  </si>
  <si>
    <t>Timeouts, retries, failover, reconciliation, backup restore and RTO/RPO validated</t>
  </si>
  <si>
    <t>SRE / QA</t>
  </si>
  <si>
    <t>7.3,7.4,7.10</t>
  </si>
  <si>
    <t>NFR-007,NFR-008</t>
  </si>
  <si>
    <t>Complete UAT readiness and training</t>
  </si>
  <si>
    <t>UAT scripts, users, test data, training and environment approved</t>
  </si>
  <si>
    <t>Business Test Lead</t>
  </si>
  <si>
    <t>Execute business UAT</t>
  </si>
  <si>
    <t>Broker, admin, underwriter, operations and support scenarios accepted</t>
  </si>
  <si>
    <t>8.5,8.6,8.7,8.8,8.9</t>
  </si>
  <si>
    <t>Resolve defects and run regression</t>
  </si>
  <si>
    <t>Release candidate meets severity, regression and traceability exit criteria</t>
  </si>
  <si>
    <t>Engineering / QA</t>
  </si>
  <si>
    <t>Complete production readiness review</t>
  </si>
  <si>
    <t>Security, privacy, architecture, data, support, DR, monitoring and release evidence approved</t>
  </si>
  <si>
    <t>8.11,7.12</t>
  </si>
  <si>
    <t>Gate 8: Go-live approval</t>
  </si>
  <si>
    <t>SteerCo approves release scope, residual risk, rollback and cutover</t>
  </si>
  <si>
    <t>Execute production cutover</t>
  </si>
  <si>
    <t>Deploy application, database, configuration, content index and integrations per runbook</t>
  </si>
  <si>
    <t>Release / DevOps</t>
  </si>
  <si>
    <t>Execute production smoke and reconciliation</t>
  </si>
  <si>
    <t>Authentication, search, AI, moratorium, submission and monitoring smoke tests pass</t>
  </si>
  <si>
    <t>QA / SRE</t>
  </si>
  <si>
    <t>Production go-live milestone</t>
  </si>
  <si>
    <t>Broker Portal Release 1 opened to approved users</t>
  </si>
  <si>
    <t>Hypercare &amp; Closure</t>
  </si>
  <si>
    <t>Operate hypercare command center</t>
  </si>
  <si>
    <t>Daily operational review, incident triage, business communications and metric tracking</t>
  </si>
  <si>
    <t>Support / Product</t>
  </si>
  <si>
    <t>Gate 9</t>
  </si>
  <si>
    <t>Monitor adoption and service objectives</t>
  </si>
  <si>
    <t>Login, AI, moratorium, submission, latency, errors and capacity reviewed against baseline</t>
  </si>
  <si>
    <t>SRE / Product</t>
  </si>
  <si>
    <t>NFR-001,NFR-002,NFR-003,NFR-009</t>
  </si>
  <si>
    <t>Resolve priority production defects</t>
  </si>
  <si>
    <t>Critical/high incidents resolved or accepted with approved remediation plan</t>
  </si>
  <si>
    <t>Complete post-production access and audit review</t>
  </si>
  <si>
    <t>Privileged access, audit completeness and support actions reviewed</t>
  </si>
  <si>
    <t>Security / Audit</t>
  </si>
  <si>
    <t>BR-AUTH-009,BR-SC-017</t>
  </si>
  <si>
    <t>Transition to steady-state support</t>
  </si>
  <si>
    <t>Knowledge transfer, backlog ownership, SLAs and on-call responsibilities accepted</t>
  </si>
  <si>
    <t>9.1,9.3</t>
  </si>
  <si>
    <t>Complete lessons learned and benefits baseline</t>
  </si>
  <si>
    <t>Delivery retrospective and success-measure baseline documented</t>
  </si>
  <si>
    <t>9.1,9.2</t>
  </si>
  <si>
    <t>Gate 9: Hypercare exit and project closure</t>
  </si>
  <si>
    <t>Steady-state owners accept service and sponsor closes implementation</t>
  </si>
  <si>
    <t>Sponsor / Operations</t>
  </si>
  <si>
    <t>9.4,9.5,9.6</t>
  </si>
  <si>
    <t>Requirement ID</t>
  </si>
  <si>
    <t>Domain</t>
  </si>
  <si>
    <t>Requirement Summary</t>
  </si>
  <si>
    <t>Planned WBS</t>
  </si>
  <si>
    <t>Acceptance Evidence</t>
  </si>
  <si>
    <t>Accountable Owner</t>
  </si>
  <si>
    <t>Release Gate</t>
  </si>
  <si>
    <t>BR-AUTH-001</t>
  </si>
  <si>
    <t>Identity</t>
  </si>
  <si>
    <t>Auth0-mediated external broker sign-in</t>
  </si>
  <si>
    <t>2.1-2.12</t>
  </si>
  <si>
    <t>Identity functional, authorization, negative-path and reconciliation tests</t>
  </si>
  <si>
    <t>IAM / Security</t>
  </si>
  <si>
    <t>Planned</t>
  </si>
  <si>
    <t>BR-AUTH-002</t>
  </si>
  <si>
    <t>Approved broker identity-provider federation</t>
  </si>
  <si>
    <t>BR-AUTH-003</t>
  </si>
  <si>
    <t>Approved internal enterprise identity</t>
  </si>
  <si>
    <t>BR-AUTH-004</t>
  </si>
  <si>
    <t>User mapped to organization, agency or branch</t>
  </si>
  <si>
    <t>Server-side roles, permissions, entitlements and ownership</t>
  </si>
  <si>
    <t>Broker administrator lifecycle management within scope</t>
  </si>
  <si>
    <t>BR-AUTH-007</t>
  </si>
  <si>
    <t>Provision or synchronize Auth0, portal and Duck Creek users</t>
  </si>
  <si>
    <t>MFA, lockout, timeout, logout and revocation</t>
  </si>
  <si>
    <t>Audit identity lifecycle and privileged access</t>
  </si>
  <si>
    <t>BR-AUTH-010</t>
  </si>
  <si>
    <t>Visible, recoverable partial provisioning</t>
  </si>
  <si>
    <t>AI Guidelines</t>
  </si>
  <si>
    <t>Upload approved guideline formats</t>
  </si>
  <si>
    <t>3.1-4.12</t>
  </si>
  <si>
    <t>Content lifecycle, Q&amp;A quality, citation, refusal and AI-security evidence</t>
  </si>
  <si>
    <t>AI / Underwriting</t>
  </si>
  <si>
    <t>BR-AI-002</t>
  </si>
  <si>
    <t>Review and publish before end-user access</t>
  </si>
  <si>
    <t>BR-AI-003</t>
  </si>
  <si>
    <t>Natural-language questions with applicability filters</t>
  </si>
  <si>
    <t>BR-AI-004</t>
  </si>
  <si>
    <t>Ground answers in authorized content</t>
  </si>
  <si>
    <t>Show source, locator, version and effective date</t>
  </si>
  <si>
    <t>BR-AI-006</t>
  </si>
  <si>
    <t>Refuse or escalate weak, conflicting or stale evidence</t>
  </si>
  <si>
    <t>BR-AI-007</t>
  </si>
  <si>
    <t>No final underwriting, pricing, bind, issue, legal or regulatory decision</t>
  </si>
  <si>
    <t>BR-AI-008</t>
  </si>
  <si>
    <t>Capture user feedback</t>
  </si>
  <si>
    <t>BR-AI-009</t>
  </si>
  <si>
    <t>Publish, supersede, retire and re-index with audit</t>
  </si>
  <si>
    <t>Retain privacy-safe interaction record</t>
  </si>
  <si>
    <t>BR-AI-011</t>
  </si>
  <si>
    <t>Defend against prompt injection and disclosure</t>
  </si>
  <si>
    <t>BR-AI-012</t>
  </si>
  <si>
    <t>Display informational-use notice</t>
  </si>
  <si>
    <t>Moratorium</t>
  </si>
  <si>
    <t>Create draft with reason, authority, scope, period and evidence</t>
  </si>
  <si>
    <t>5.1-5.16</t>
  </si>
  <si>
    <t>Decision-table, lifecycle, integration, audit and catastrophe-volume evidence</t>
  </si>
  <si>
    <t>Operations / Risk</t>
  </si>
  <si>
    <t>BR-MOR-002</t>
  </si>
  <si>
    <t>Approval and separation-of-duties rules</t>
  </si>
  <si>
    <t>BR-MOR-003</t>
  </si>
  <si>
    <t>Emergency activation with expedited approval</t>
  </si>
  <si>
    <t>BR-MOR-004</t>
  </si>
  <si>
    <t>Explicit affected insurance activities</t>
  </si>
  <si>
    <t>BR-MOR-005</t>
  </si>
  <si>
    <t>Product, geography, peril, risk and distribution criteria</t>
  </si>
  <si>
    <t>BR-MOR-006</t>
  </si>
  <si>
    <t>Effective-dated precedence and conflict rules</t>
  </si>
  <si>
    <t>BR-MOR-007</t>
  </si>
  <si>
    <t>Allow, Suspend or Refer with explanation</t>
  </si>
  <si>
    <t>BR-MOR-008</t>
  </si>
  <si>
    <t>Evaluate and re-evaluate before affected transactions</t>
  </si>
  <si>
    <t>Treatment of in-flight and existing business</t>
  </si>
  <si>
    <t>No bypass; governed exception evidence</t>
  </si>
  <si>
    <t>BR-MOR-011</t>
  </si>
  <si>
    <t>Complete lifecycle version history</t>
  </si>
  <si>
    <t>Approved internal and broker communications</t>
  </si>
  <si>
    <t>Operational views and synchronization status</t>
  </si>
  <si>
    <t>BR-MOR-014</t>
  </si>
  <si>
    <t>Duck Creek synchronization, reconciliation and fail-safe</t>
  </si>
  <si>
    <t>Automatic expiry or periodic reauthorization</t>
  </si>
  <si>
    <t>Complete evaluation audit inputs and outcome</t>
  </si>
  <si>
    <t>Small Commercial</t>
  </si>
  <si>
    <t>Configured products and states by release</t>
  </si>
  <si>
    <t>6.1-6.21</t>
  </si>
  <si>
    <t>Journey, contract, duplicate-prevention, authorization and UAT evidence</t>
  </si>
  <si>
    <t>Product / Integration</t>
  </si>
  <si>
    <t>BR-SC-002</t>
  </si>
  <si>
    <t>Create, save, resume, copy and withdraw drafts</t>
  </si>
  <si>
    <t>Dynamic questions by product and risk context</t>
  </si>
  <si>
    <t>BR-SC-004</t>
  </si>
  <si>
    <t>Capture applicant, producer, location, exposure, coverage and history</t>
  </si>
  <si>
    <t>Required, format, consistency, duplicate and business validation</t>
  </si>
  <si>
    <t>Evaluate active moratoriums before configured transactions</t>
  </si>
  <si>
    <t>BR-SC-007</t>
  </si>
  <si>
    <t>Secure document validation, scanning and transmission</t>
  </si>
  <si>
    <t>BR-SC-008</t>
  </si>
  <si>
    <t>Create or update Duck Creek submissions with correlation IDs</t>
  </si>
  <si>
    <t>BR-SC-009</t>
  </si>
  <si>
    <t>Request rating and present role-approved details</t>
  </si>
  <si>
    <t>BR-SC-010</t>
  </si>
  <si>
    <t>Display authoritative quote versions and terms</t>
  </si>
  <si>
    <t>Referral and information-request workflow</t>
  </si>
  <si>
    <t>Governed bind and issue actions</t>
  </si>
  <si>
    <t>Broker-safe status timeline</t>
  </si>
  <si>
    <t>BR-SC-014</t>
  </si>
  <si>
    <t>Idempotency and reconciliation prevent duplicate transactions</t>
  </si>
  <si>
    <t>Role-appropriate search</t>
  </si>
  <si>
    <t>BR-SC-016</t>
  </si>
  <si>
    <t>Autosave, conflict handling and session recovery</t>
  </si>
  <si>
    <t>Audit material actions and downstream outcomes</t>
  </si>
  <si>
    <t>Secure comparative-rater deep links</t>
  </si>
  <si>
    <t>NFR-001</t>
  </si>
  <si>
    <t>NFR</t>
  </si>
  <si>
    <t>99.9% target availability subject to approval</t>
  </si>
  <si>
    <t>0.12,1.1-8.12</t>
  </si>
  <si>
    <t>Approved NFR baseline plus specialist test and production-readiness evidence</t>
  </si>
  <si>
    <t>Architecture / SRE</t>
  </si>
  <si>
    <t>NFR-002</t>
  </si>
  <si>
    <t>Approved p95 targets for key interactions</t>
  </si>
  <si>
    <t>NFR-003</t>
  </si>
  <si>
    <t>Scale for users, content and catastrophe peaks</t>
  </si>
  <si>
    <t>NFR-004</t>
  </si>
  <si>
    <t>TLS, headers, CSP, CORS, secrets and security scanning</t>
  </si>
  <si>
    <t>Privacy minimization, retention, deletion and restricted support</t>
  </si>
  <si>
    <t>NFR-006</t>
  </si>
  <si>
    <t>WCAG 2.2 AA target</t>
  </si>
  <si>
    <t>Timeouts, circuit breakers, retries, idempotency and reconciliation</t>
  </si>
  <si>
    <t>NFR-008</t>
  </si>
  <si>
    <t>Approved RTO/RPO before UAT</t>
  </si>
  <si>
    <t>Logs, metrics, traces, audit, dashboards and correlation</t>
  </si>
  <si>
    <t>Modular design, automated tests, quality gates and documentation</t>
  </si>
  <si>
    <t>NFR-011</t>
  </si>
  <si>
    <t>Approved browser, device, file and assistive-technology matrix</t>
  </si>
  <si>
    <t>AI grounding, citations, security, evaluation and rollback</t>
  </si>
  <si>
    <t>ID</t>
  </si>
  <si>
    <t>Type</t>
  </si>
  <si>
    <t>Risk / Decision</t>
  </si>
  <si>
    <t>Impact</t>
  </si>
  <si>
    <t>Probability / Urgency</t>
  </si>
  <si>
    <t>Mitigation / Required Outcome</t>
  </si>
  <si>
    <t>Linked WBS</t>
  </si>
  <si>
    <t>R-001</t>
  </si>
  <si>
    <t>Risk</t>
  </si>
  <si>
    <t>Duck Creek APIs, environments, authentication, contracts or limits unknown</t>
  </si>
  <si>
    <t>High</t>
  </si>
  <si>
    <t>Medium</t>
  </si>
  <si>
    <t>Complete integration discovery and contract tests before commitment</t>
  </si>
  <si>
    <t>Open</t>
  </si>
  <si>
    <t>R-002</t>
  </si>
  <si>
    <t>Identity or entitlement synchronization becomes stale</t>
  </si>
  <si>
    <t>Define authority, event/reconciliation model, revocation and fail-safe behavior</t>
  </si>
  <si>
    <t>0.7,2.8,2.11</t>
  </si>
  <si>
    <t>R-003</t>
  </si>
  <si>
    <t>AI returns unsupported or outdated guidance</t>
  </si>
  <si>
    <t>Use approved content lifecycle, citations, evaluation, refusal, monitoring and rollback</t>
  </si>
  <si>
    <t>3.1-4.13</t>
  </si>
  <si>
    <t>R-004</t>
  </si>
  <si>
    <t>Incorrect or delayed moratorium enforcement permits prohibited activity or blocks allowed business</t>
  </si>
  <si>
    <t>Use precise scope, deterministic precedence, synchronized enforcement, fail-safe and reconciliation</t>
  </si>
  <si>
    <t>Operations Lead</t>
  </si>
  <si>
    <t>5.1-5.17</t>
  </si>
  <si>
    <t>R-005</t>
  </si>
  <si>
    <t>Headless workflow duplicates or loses downstream transactions</t>
  </si>
  <si>
    <t>Use idempotency, correlation, state machine, retries and reconciliation</t>
  </si>
  <si>
    <t>6.14,7.1-7.4</t>
  </si>
  <si>
    <t>R-006</t>
  </si>
  <si>
    <t>Sensitive guideline or broker data is exposed</t>
  </si>
  <si>
    <t>Apply access filtering, secure retrieval, minimization, testing and monitoring</t>
  </si>
  <si>
    <t>Security Lead</t>
  </si>
  <si>
    <t>1.5,1.6,4.8,8.5</t>
  </si>
  <si>
    <t>R-007</t>
  </si>
  <si>
    <t>Catastrophe event creates traffic spikes</t>
  </si>
  <si>
    <t>Capacity modeling, load tests, scaling and operational playbooks</t>
  </si>
  <si>
    <t>5.16,8.7</t>
  </si>
  <si>
    <t>R-008</t>
  </si>
  <si>
    <t>MVP expands to all policy-lifecycle transactions</t>
  </si>
  <si>
    <t>Use release-based scope and formal change control</t>
  </si>
  <si>
    <t>Decision</t>
  </si>
  <si>
    <t>Release 1 products, states, stages and personas</t>
  </si>
  <si>
    <t>Urgent</t>
  </si>
  <si>
    <t>Approve Release 1 scope matrix</t>
  </si>
  <si>
    <t>Due</t>
  </si>
  <si>
    <t>OD-002</t>
  </si>
  <si>
    <t>Duck Creek products, versions and approved APIs/services</t>
  </si>
  <si>
    <t>Approve integration catalogue</t>
  </si>
  <si>
    <t>Duck Creek Owner</t>
  </si>
  <si>
    <t>Authority for broker, agency, producer and entitlements</t>
  </si>
  <si>
    <t>Approve source-of-truth and synchronization design</t>
  </si>
  <si>
    <t>Data Owner</t>
  </si>
  <si>
    <t>Auth0 tenant, organization, MFA, session and invitation policies</t>
  </si>
  <si>
    <t>Approve IAM design</t>
  </si>
  <si>
    <t>IAM Owner</t>
  </si>
  <si>
    <t>AI model, search/vector, repository, moderation and retention services</t>
  </si>
  <si>
    <t>Approve AI platform design</t>
  </si>
  <si>
    <t>AI Governance</t>
  </si>
  <si>
    <t>Guideline owners, approvals, effective dates and emergency corrections</t>
  </si>
  <si>
    <t>Approve content governance</t>
  </si>
  <si>
    <t>Underwriting Owner</t>
  </si>
  <si>
    <t>OD-007</t>
  </si>
  <si>
    <t>Moratorium authority store, Duck Creek sync and outage behavior</t>
  </si>
  <si>
    <t>Approve moratorium architecture</t>
  </si>
  <si>
    <t>Operations / Duck Creek</t>
  </si>
  <si>
    <t>OD-008</t>
  </si>
  <si>
    <t>Moratorium scope, precedence, exceptions, communications and lifting</t>
  </si>
  <si>
    <t>Approve operating rulebook</t>
  </si>
  <si>
    <t>OD-009</t>
  </si>
  <si>
    <t>Available rating, quote, referral, bind, issue, document and payment journeys</t>
  </si>
  <si>
    <t>Approve capability matrix</t>
  </si>
  <si>
    <t>Duck Creek / Product</t>
  </si>
  <si>
    <t>OD-010</t>
  </si>
  <si>
    <t>Volumes, SLOs, RTO/RPO, retention and support hours</t>
  </si>
  <si>
    <t>Approve NFR baseline</t>
  </si>
  <si>
    <t>Architecture / Operations</t>
  </si>
  <si>
    <t>BHSI Broker Portal — End-to-End Implementation Plan</t>
  </si>
  <si>
    <t>Baseline: 01 Oct 2026 to 16 Jul 2027 | Auth0, AI Guidelines, Moratoriums, Small Commercial, Duck Creek and operations</t>
  </si>
  <si>
    <t>Executive KPI</t>
  </si>
  <si>
    <t>Value</t>
  </si>
  <si>
    <t>Detailed activities</t>
  </si>
  <si>
    <t>Requirement records</t>
  </si>
  <si>
    <t>Open risks / decisions</t>
  </si>
  <si>
    <t>Schedule KPI</t>
  </si>
  <si>
    <t>Baseline start</t>
  </si>
  <si>
    <t>Production go-live</t>
  </si>
  <si>
    <t>Hypercare exit</t>
  </si>
  <si>
    <t>Planned completion</t>
  </si>
  <si>
    <t>Gate</t>
  </si>
  <si>
    <t>Target Date</t>
  </si>
  <si>
    <t>Outcome</t>
  </si>
  <si>
    <t>Accountable Body</t>
  </si>
  <si>
    <t>Discovery, scope and delivery baseline approved</t>
  </si>
  <si>
    <t>Architecture and platform ready</t>
  </si>
  <si>
    <t>Identity and access accepted</t>
  </si>
  <si>
    <t>Guideline content and search accepted</t>
  </si>
  <si>
    <t>AI assistant accepted</t>
  </si>
  <si>
    <t>Moratorium controls accepted</t>
  </si>
  <si>
    <t>Small Commercial journey accepted</t>
  </si>
  <si>
    <t>Operational readiness baseline accepted</t>
  </si>
  <si>
    <t>Hypercare exit and closure</t>
  </si>
  <si>
    <t>Critical delivery assumptions</t>
  </si>
  <si>
    <t>1. Angular, ASP.NET Core, SQL Server and Auth0 remain the approved technology direction.</t>
  </si>
  <si>
    <t>2. Duck Creek remains system of record; unsupported capabilities are not assumed before contract approval.</t>
  </si>
  <si>
    <t>3. Identity, AI, Moratorium and Small Commercial squads execute in parallel after the shared platform gate.</t>
  </si>
  <si>
    <t>4. Product/state scope, NFR targets and bind/issue capability are approval gates, not silent assumptions.</t>
  </si>
  <si>
    <t>5. Re-baseline dates after Gate 0 using confirmed team capacity and external dependency commitments.</t>
  </si>
  <si>
    <t>Source: BHSI_Broker_Portal_Business_and_System_Requirements v.1.0, modified 24 Sep 2026.</t>
  </si>
  <si>
    <t>Milestones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</si>
</sst>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ptos"/>
    </font>
    <font>
      <sz val="10"/>
      <color theme="1"/>
      <name val="Aptos"/>
    </font>
    <font>
      <b/>
      <sz val="11"/>
      <color rgb="FFFFFFFF"/>
      <name val="Aptos"/>
    </font>
    <font>
      <b/>
      <sz val="20"/>
      <color rgb="FFFFFFFF"/>
      <name val="Aptos"/>
    </font>
    <font>
      <i/>
      <sz val="11"/>
      <color rgb="FF1F4E78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7F9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</cellXfs>
  <cellStyles count="1">
    <cellStyle name="Normal" xfId="0" builtinId="0"/>
  </cellStyles>
  <dxfs count="42"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</font>
      <fill>
        <patternFill patternType="solid">
          <fgColor indexed="64"/>
          <bgColor rgb="FFFFF2CC"/>
        </patternFill>
      </fill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numFmt numFmtId="13" formatCode="0%"/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numFmt numFmtId="1" formatCode="0"/>
      <alignment vertical="center"/>
    </dxf>
    <dxf>
      <font>
        <sz val="10"/>
        <name val="Aptos"/>
      </font>
      <numFmt numFmtId="164" formatCode="yyyy\-mm\-dd"/>
      <alignment vertical="center"/>
    </dxf>
    <dxf>
      <font>
        <sz val="10"/>
        <name val="Aptos"/>
      </font>
      <numFmt numFmtId="164" formatCode="yyyy\-mm\-dd"/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EBAB1-B3A2-487A-A3CD-FDC7EBB7DD56}" name="tblBrokerPortalPlan" displayName="tblBrokerPortalPlan" ref="A1:O141" totalsRowShown="0" headerRowDxfId="30" dataDxfId="29">
  <autoFilter ref="A1:O141" xr:uid="{AB3EBAB1-B3A2-487A-A3CD-FDC7EBB7DD56}"/>
  <tableColumns count="15">
    <tableColumn id="1" xr3:uid="{D9D89C8C-005C-4B91-A969-15075F2D08C2}" name="WBS" dataDxfId="41"/>
    <tableColumn id="2" xr3:uid="{03265809-CB64-480B-8774-691A19493407}" name="Workstream" dataDxfId="40"/>
    <tableColumn id="3" xr3:uid="{50447088-B174-46A3-A63B-9E34E2A805E3}" name="Task Name" dataDxfId="11"/>
    <tableColumn id="4" xr3:uid="{5247B015-22F3-4735-9867-0937AE8EA4A8}" name="Deliverable / Exit Criteria" dataDxfId="10"/>
    <tableColumn id="5" xr3:uid="{DA5AA168-4FDB-43D6-9D28-FBD306FCFD6B}" name="Start Date" dataDxfId="39"/>
    <tableColumn id="6" xr3:uid="{16599C34-B586-47F4-B316-C87B368DC250}" name="End Date" dataDxfId="38"/>
    <tableColumn id="7" xr3:uid="{DDC88D96-855F-40BE-9955-D195B34E7F9B}" name="Workdays" dataDxfId="37">
      <calculatedColumnFormula>NETWORKDAYS(E2,F2)</calculatedColumnFormula>
    </tableColumn>
    <tableColumn id="8" xr3:uid="{D53C21E5-8D8C-409B-82DB-34B632A4C821}" name="Owner" dataDxfId="36"/>
    <tableColumn id="9" xr3:uid="{46695E84-0DB2-4784-96B9-5FE4402635B6}" name="Dependencies" dataDxfId="35"/>
    <tableColumn id="10" xr3:uid="{F2079F15-2C4A-478B-9AC2-B09A0426AE93}" name="Requirement / Decision IDs" dataDxfId="9"/>
    <tableColumn id="11" xr3:uid="{CC56B4E1-806A-45BA-8478-CC389104347A}" name="Phase Gate" dataDxfId="34"/>
    <tableColumn id="12" xr3:uid="{62949267-00A4-4C29-AD55-11D178D5BBEC}" name="Status" dataDxfId="33"/>
    <tableColumn id="13" xr3:uid="{926CB375-867F-4BFE-9F76-AE2C57D54422}" name="% Complete" dataDxfId="32"/>
    <tableColumn id="14" xr3:uid="{8CFA6A05-A89B-41C0-A240-296BBF9C1FE2}" name="Implementation Notes" dataDxfId="8"/>
    <tableColumn id="15" xr3:uid="{B1E07586-801E-4052-9FDC-9020075C6B4B}" name="Milestone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FA46D3-DDF5-4CBA-A4FA-09988EB9E4B8}" name="tblRequirementTraceability" displayName="tblRequirementTraceability" ref="A1:H69" totalsRowShown="0" headerRowDxfId="22" dataDxfId="21">
  <autoFilter ref="A1:H69" xr:uid="{08FA46D3-DDF5-4CBA-A4FA-09988EB9E4B8}"/>
  <tableColumns count="8">
    <tableColumn id="1" xr3:uid="{B2B0FA28-5318-4069-B9F0-A687B3A83097}" name="Requirement ID" dataDxfId="28"/>
    <tableColumn id="2" xr3:uid="{CCF034EC-EA7E-443F-B02B-33878452F9FF}" name="Domain" dataDxfId="27"/>
    <tableColumn id="3" xr3:uid="{4E4EC39E-56A9-4364-A8A9-5EEF5AA6ED12}" name="Requirement Summary" dataDxfId="7"/>
    <tableColumn id="4" xr3:uid="{EEFDC366-9995-4D01-B45E-C21160369EF6}" name="Planned WBS" dataDxfId="26"/>
    <tableColumn id="5" xr3:uid="{6EAA44EF-47B2-446F-8967-858B7B74D06C}" name="Acceptance Evidence" dataDxfId="6"/>
    <tableColumn id="6" xr3:uid="{ADCC2D27-2162-4CE7-9A89-959B788842A2}" name="Accountable Owner" dataDxfId="25"/>
    <tableColumn id="7" xr3:uid="{C7DAB423-A238-4249-833A-95B68E69B310}" name="Status" dataDxfId="24"/>
    <tableColumn id="8" xr3:uid="{AF0175E5-5045-4F8A-8462-DC0772CB0437}" name="Release Gate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09DA20-450F-4CB4-9189-536FBDA92A2D}" name="tblRAID" displayName="tblRAID" ref="A1:I19" totalsRowShown="0" headerRowDxfId="13" dataDxfId="12">
  <autoFilter ref="A1:I19" xr:uid="{0309DA20-450F-4CB4-9189-536FBDA92A2D}"/>
  <tableColumns count="9">
    <tableColumn id="1" xr3:uid="{3F0F432A-2F79-41CD-ABF3-E093D451F0F6}" name="ID" dataDxfId="20"/>
    <tableColumn id="2" xr3:uid="{831D4985-971C-4FFA-9593-2152781A239D}" name="Type" dataDxfId="19"/>
    <tableColumn id="3" xr3:uid="{E884ECD2-908C-4C2D-AAD8-4D93B816C135}" name="Risk / Decision" dataDxfId="5"/>
    <tableColumn id="4" xr3:uid="{8B9AD5C3-4CAC-4154-B1BD-9845FF507AA2}" name="Impact" dataDxfId="18"/>
    <tableColumn id="5" xr3:uid="{3DAE9ED1-CCFC-4BD0-A45E-1465E4A32B7F}" name="Probability / Urgency" dataDxfId="17"/>
    <tableColumn id="6" xr3:uid="{FC25C13D-F7B3-43CD-92D3-B32685C0B6F7}" name="Mitigation / Required Outcome" dataDxfId="4"/>
    <tableColumn id="7" xr3:uid="{DD9DF594-3F7B-471C-B48A-095961BC81F6}" name="Owner" dataDxfId="16"/>
    <tableColumn id="8" xr3:uid="{A47043D8-3733-4828-A775-72C64F7C6E1E}" name="Status" dataDxfId="15"/>
    <tableColumn id="9" xr3:uid="{73A9F04B-4615-48FA-8523-3441980240A2}" name="Linked WB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workbookViewId="0">
      <pane ySplit="1" topLeftCell="A57" activePane="bottomLeft" state="frozen"/>
      <selection pane="bottomLeft" activeCell="A2" sqref="A1:XFD1048576"/>
    </sheetView>
  </sheetViews>
  <sheetFormatPr defaultRowHeight="14.4" x14ac:dyDescent="0.3"/>
  <cols>
    <col min="1" max="1" width="7.33203125" bestFit="1" customWidth="1"/>
    <col min="2" max="2" width="25.6640625" bestFit="1" customWidth="1"/>
    <col min="3" max="3" width="35.21875" customWidth="1"/>
    <col min="4" max="4" width="51.88671875" customWidth="1"/>
    <col min="5" max="5" width="11.6640625" bestFit="1" customWidth="1"/>
    <col min="6" max="6" width="10.88671875" bestFit="1" customWidth="1"/>
    <col min="7" max="7" width="11.77734375" bestFit="1" customWidth="1"/>
    <col min="8" max="8" width="24.21875" bestFit="1" customWidth="1"/>
    <col min="9" max="9" width="42.44140625" bestFit="1" customWidth="1"/>
    <col min="10" max="10" width="27.77734375" customWidth="1"/>
    <col min="11" max="11" width="12.77734375" bestFit="1" customWidth="1"/>
    <col min="12" max="12" width="10.21875" bestFit="1" customWidth="1"/>
    <col min="13" max="13" width="13.5546875" bestFit="1" customWidth="1"/>
    <col min="14" max="14" width="33.33203125" customWidth="1"/>
    <col min="15" max="15" width="11.77734375" customWidth="1"/>
  </cols>
  <sheetData>
    <row r="1" spans="1:15" ht="30" customHeight="1" x14ac:dyDescent="0.3">
      <c r="A1" s="1" t="s">
        <v>0</v>
      </c>
      <c r="B1" s="1" t="s">
        <v>18</v>
      </c>
      <c r="C1" s="1" t="s">
        <v>1</v>
      </c>
      <c r="D1" s="1" t="s">
        <v>19</v>
      </c>
      <c r="E1" s="1" t="s">
        <v>2</v>
      </c>
      <c r="F1" s="1" t="s">
        <v>3</v>
      </c>
      <c r="G1" s="1" t="s">
        <v>20</v>
      </c>
      <c r="H1" s="1" t="s">
        <v>4</v>
      </c>
      <c r="I1" s="1" t="s">
        <v>5</v>
      </c>
      <c r="J1" s="1" t="s">
        <v>21</v>
      </c>
      <c r="K1" s="1" t="s">
        <v>22</v>
      </c>
      <c r="L1" s="1" t="s">
        <v>6</v>
      </c>
      <c r="M1" s="1" t="s">
        <v>23</v>
      </c>
      <c r="N1" s="1" t="s">
        <v>24</v>
      </c>
      <c r="O1" s="1" t="s">
        <v>25</v>
      </c>
    </row>
    <row r="2" spans="1:15" ht="27.6" x14ac:dyDescent="0.3">
      <c r="A2" s="1">
        <v>0.1</v>
      </c>
      <c r="B2" s="1" t="s">
        <v>26</v>
      </c>
      <c r="C2" s="5" t="s">
        <v>27</v>
      </c>
      <c r="D2" s="5" t="s">
        <v>28</v>
      </c>
      <c r="E2" s="2">
        <v>46296</v>
      </c>
      <c r="F2" s="2">
        <v>46297</v>
      </c>
      <c r="G2" s="3">
        <f>NETWORKDAYS(E2,F2)</f>
        <v>2</v>
      </c>
      <c r="H2" s="1" t="s">
        <v>29</v>
      </c>
      <c r="I2" s="1" t="s">
        <v>7</v>
      </c>
      <c r="J2" s="5"/>
      <c r="K2" s="1" t="s">
        <v>30</v>
      </c>
      <c r="L2" s="1" t="s">
        <v>8</v>
      </c>
      <c r="M2" s="4">
        <v>0</v>
      </c>
      <c r="N2" s="5"/>
      <c r="O2" s="1" t="s">
        <v>31</v>
      </c>
    </row>
    <row r="3" spans="1:15" ht="27.6" x14ac:dyDescent="0.3">
      <c r="A3" s="1">
        <v>0.2</v>
      </c>
      <c r="B3" s="1" t="s">
        <v>26</v>
      </c>
      <c r="C3" s="5" t="s">
        <v>32</v>
      </c>
      <c r="D3" s="5" t="s">
        <v>33</v>
      </c>
      <c r="E3" s="2">
        <v>46296</v>
      </c>
      <c r="F3" s="2">
        <v>46300</v>
      </c>
      <c r="G3" s="3">
        <f t="shared" ref="G3:G66" si="0">NETWORKDAYS(E3,F3)</f>
        <v>3</v>
      </c>
      <c r="H3" s="1" t="s">
        <v>34</v>
      </c>
      <c r="I3" s="1">
        <v>0.1</v>
      </c>
      <c r="J3" s="5"/>
      <c r="K3" s="1" t="s">
        <v>30</v>
      </c>
      <c r="L3" s="1" t="s">
        <v>8</v>
      </c>
      <c r="M3" s="4">
        <v>0</v>
      </c>
      <c r="N3" s="5"/>
      <c r="O3" s="1" t="s">
        <v>31</v>
      </c>
    </row>
    <row r="4" spans="1:15" ht="27.6" x14ac:dyDescent="0.3">
      <c r="A4" s="1">
        <v>0.3</v>
      </c>
      <c r="B4" s="1" t="s">
        <v>26</v>
      </c>
      <c r="C4" s="5" t="s">
        <v>35</v>
      </c>
      <c r="D4" s="5" t="s">
        <v>36</v>
      </c>
      <c r="E4" s="2">
        <v>46297</v>
      </c>
      <c r="F4" s="2">
        <v>46301</v>
      </c>
      <c r="G4" s="3">
        <f t="shared" si="0"/>
        <v>3</v>
      </c>
      <c r="H4" s="1" t="s">
        <v>29</v>
      </c>
      <c r="I4" s="1">
        <v>0.1</v>
      </c>
      <c r="J4" s="5"/>
      <c r="K4" s="1" t="s">
        <v>30</v>
      </c>
      <c r="L4" s="1" t="s">
        <v>8</v>
      </c>
      <c r="M4" s="4">
        <v>0</v>
      </c>
      <c r="N4" s="5"/>
      <c r="O4" s="1" t="s">
        <v>31</v>
      </c>
    </row>
    <row r="5" spans="1:15" ht="27.6" x14ac:dyDescent="0.3">
      <c r="A5" s="1">
        <v>0.4</v>
      </c>
      <c r="B5" s="1" t="s">
        <v>26</v>
      </c>
      <c r="C5" s="5" t="s">
        <v>37</v>
      </c>
      <c r="D5" s="5" t="s">
        <v>38</v>
      </c>
      <c r="E5" s="2">
        <v>46297</v>
      </c>
      <c r="F5" s="2">
        <v>46302</v>
      </c>
      <c r="G5" s="3">
        <f t="shared" si="0"/>
        <v>4</v>
      </c>
      <c r="H5" s="1" t="s">
        <v>39</v>
      </c>
      <c r="I5" s="1">
        <v>0.1</v>
      </c>
      <c r="J5" s="5"/>
      <c r="K5" s="1" t="s">
        <v>30</v>
      </c>
      <c r="L5" s="1" t="s">
        <v>8</v>
      </c>
      <c r="M5" s="4">
        <v>0</v>
      </c>
      <c r="N5" s="5"/>
      <c r="O5" s="1" t="s">
        <v>31</v>
      </c>
    </row>
    <row r="6" spans="1:15" ht="27.6" x14ac:dyDescent="0.3">
      <c r="A6" s="1">
        <v>0.5</v>
      </c>
      <c r="B6" s="1" t="s">
        <v>26</v>
      </c>
      <c r="C6" s="5" t="s">
        <v>40</v>
      </c>
      <c r="D6" s="5" t="s">
        <v>41</v>
      </c>
      <c r="E6" s="2">
        <v>46300</v>
      </c>
      <c r="F6" s="2">
        <v>46304</v>
      </c>
      <c r="G6" s="3">
        <f t="shared" si="0"/>
        <v>5</v>
      </c>
      <c r="H6" s="1" t="s">
        <v>42</v>
      </c>
      <c r="I6" s="1">
        <v>0.2</v>
      </c>
      <c r="J6" s="5" t="s">
        <v>43</v>
      </c>
      <c r="K6" s="1" t="s">
        <v>30</v>
      </c>
      <c r="L6" s="1" t="s">
        <v>8</v>
      </c>
      <c r="M6" s="4">
        <v>0</v>
      </c>
      <c r="N6" s="5"/>
      <c r="O6" s="1" t="s">
        <v>31</v>
      </c>
    </row>
    <row r="7" spans="1:15" ht="27.6" x14ac:dyDescent="0.3">
      <c r="A7" s="1">
        <v>0.6</v>
      </c>
      <c r="B7" s="1" t="s">
        <v>26</v>
      </c>
      <c r="C7" s="5" t="s">
        <v>44</v>
      </c>
      <c r="D7" s="5" t="s">
        <v>45</v>
      </c>
      <c r="E7" s="2">
        <v>46300</v>
      </c>
      <c r="F7" s="2">
        <v>46311</v>
      </c>
      <c r="G7" s="3">
        <f t="shared" si="0"/>
        <v>10</v>
      </c>
      <c r="H7" s="1" t="s">
        <v>46</v>
      </c>
      <c r="I7" s="1">
        <v>0.2</v>
      </c>
      <c r="J7" s="5" t="s">
        <v>47</v>
      </c>
      <c r="K7" s="1" t="s">
        <v>30</v>
      </c>
      <c r="L7" s="1" t="s">
        <v>8</v>
      </c>
      <c r="M7" s="4">
        <v>0</v>
      </c>
      <c r="N7" s="5"/>
      <c r="O7" s="1" t="s">
        <v>31</v>
      </c>
    </row>
    <row r="8" spans="1:15" ht="27.6" x14ac:dyDescent="0.3">
      <c r="A8" s="1">
        <v>0.7</v>
      </c>
      <c r="B8" s="1" t="s">
        <v>26</v>
      </c>
      <c r="C8" s="5" t="s">
        <v>48</v>
      </c>
      <c r="D8" s="5" t="s">
        <v>49</v>
      </c>
      <c r="E8" s="2">
        <v>46300</v>
      </c>
      <c r="F8" s="2">
        <v>46307</v>
      </c>
      <c r="G8" s="3">
        <f t="shared" si="0"/>
        <v>6</v>
      </c>
      <c r="H8" s="1" t="s">
        <v>50</v>
      </c>
      <c r="I8" s="1">
        <v>0.2</v>
      </c>
      <c r="J8" s="5" t="s">
        <v>51</v>
      </c>
      <c r="K8" s="1" t="s">
        <v>30</v>
      </c>
      <c r="L8" s="1" t="s">
        <v>8</v>
      </c>
      <c r="M8" s="4">
        <v>0</v>
      </c>
      <c r="N8" s="5"/>
      <c r="O8" s="1" t="s">
        <v>31</v>
      </c>
    </row>
    <row r="9" spans="1:15" ht="27.6" x14ac:dyDescent="0.3">
      <c r="A9" s="1">
        <v>0.8</v>
      </c>
      <c r="B9" s="1" t="s">
        <v>26</v>
      </c>
      <c r="C9" s="5" t="s">
        <v>52</v>
      </c>
      <c r="D9" s="5" t="s">
        <v>53</v>
      </c>
      <c r="E9" s="2">
        <v>46300</v>
      </c>
      <c r="F9" s="2">
        <v>46307</v>
      </c>
      <c r="G9" s="3">
        <f t="shared" si="0"/>
        <v>6</v>
      </c>
      <c r="H9" s="1" t="s">
        <v>54</v>
      </c>
      <c r="I9" s="1">
        <v>0.2</v>
      </c>
      <c r="J9" s="5" t="s">
        <v>55</v>
      </c>
      <c r="K9" s="1" t="s">
        <v>30</v>
      </c>
      <c r="L9" s="1" t="s">
        <v>8</v>
      </c>
      <c r="M9" s="4">
        <v>0</v>
      </c>
      <c r="N9" s="5"/>
      <c r="O9" s="1" t="s">
        <v>31</v>
      </c>
    </row>
    <row r="10" spans="1:15" ht="27.6" x14ac:dyDescent="0.3">
      <c r="A10" s="1">
        <v>0.9</v>
      </c>
      <c r="B10" s="1" t="s">
        <v>26</v>
      </c>
      <c r="C10" s="5" t="s">
        <v>56</v>
      </c>
      <c r="D10" s="5" t="s">
        <v>57</v>
      </c>
      <c r="E10" s="2">
        <v>46300</v>
      </c>
      <c r="F10" s="2">
        <v>46309</v>
      </c>
      <c r="G10" s="3">
        <f t="shared" si="0"/>
        <v>8</v>
      </c>
      <c r="H10" s="1" t="s">
        <v>58</v>
      </c>
      <c r="I10" s="1">
        <v>0.2</v>
      </c>
      <c r="J10" s="5" t="s">
        <v>59</v>
      </c>
      <c r="K10" s="1" t="s">
        <v>30</v>
      </c>
      <c r="L10" s="1" t="s">
        <v>8</v>
      </c>
      <c r="M10" s="4">
        <v>0</v>
      </c>
      <c r="N10" s="5"/>
      <c r="O10" s="1" t="s">
        <v>31</v>
      </c>
    </row>
    <row r="11" spans="1:15" ht="27.6" x14ac:dyDescent="0.3">
      <c r="A11" s="1">
        <v>0.1</v>
      </c>
      <c r="B11" s="1" t="s">
        <v>26</v>
      </c>
      <c r="C11" s="5" t="s">
        <v>60</v>
      </c>
      <c r="D11" s="5" t="s">
        <v>61</v>
      </c>
      <c r="E11" s="2">
        <v>46303</v>
      </c>
      <c r="F11" s="2">
        <v>46310</v>
      </c>
      <c r="G11" s="3">
        <f t="shared" si="0"/>
        <v>6</v>
      </c>
      <c r="H11" s="1" t="s">
        <v>62</v>
      </c>
      <c r="I11" s="1">
        <v>0.4</v>
      </c>
      <c r="J11" s="5" t="s">
        <v>63</v>
      </c>
      <c r="K11" s="1" t="s">
        <v>30</v>
      </c>
      <c r="L11" s="1" t="s">
        <v>8</v>
      </c>
      <c r="M11" s="4">
        <v>0</v>
      </c>
      <c r="N11" s="5"/>
      <c r="O11" s="1" t="s">
        <v>31</v>
      </c>
    </row>
    <row r="12" spans="1:15" ht="27.6" x14ac:dyDescent="0.3">
      <c r="A12" s="1">
        <v>0.11</v>
      </c>
      <c r="B12" s="1" t="s">
        <v>26</v>
      </c>
      <c r="C12" s="5" t="s">
        <v>64</v>
      </c>
      <c r="D12" s="5" t="s">
        <v>65</v>
      </c>
      <c r="E12" s="2">
        <v>46303</v>
      </c>
      <c r="F12" s="2">
        <v>46311</v>
      </c>
      <c r="G12" s="3">
        <f t="shared" si="0"/>
        <v>7</v>
      </c>
      <c r="H12" s="1" t="s">
        <v>66</v>
      </c>
      <c r="I12" s="1">
        <v>0.4</v>
      </c>
      <c r="J12" s="5" t="s">
        <v>67</v>
      </c>
      <c r="K12" s="1" t="s">
        <v>30</v>
      </c>
      <c r="L12" s="1" t="s">
        <v>8</v>
      </c>
      <c r="M12" s="4">
        <v>0</v>
      </c>
      <c r="N12" s="5"/>
      <c r="O12" s="1" t="s">
        <v>31</v>
      </c>
    </row>
    <row r="13" spans="1:15" ht="27.6" x14ac:dyDescent="0.3">
      <c r="A13" s="1">
        <v>0.12</v>
      </c>
      <c r="B13" s="1" t="s">
        <v>26</v>
      </c>
      <c r="C13" s="5" t="s">
        <v>68</v>
      </c>
      <c r="D13" s="5" t="s">
        <v>69</v>
      </c>
      <c r="E13" s="2">
        <v>46303</v>
      </c>
      <c r="F13" s="2">
        <v>46311</v>
      </c>
      <c r="G13" s="3">
        <f t="shared" si="0"/>
        <v>7</v>
      </c>
      <c r="H13" s="1" t="s">
        <v>70</v>
      </c>
      <c r="I13" s="1">
        <v>0.4</v>
      </c>
      <c r="J13" s="5" t="s">
        <v>71</v>
      </c>
      <c r="K13" s="1" t="s">
        <v>30</v>
      </c>
      <c r="L13" s="1" t="s">
        <v>8</v>
      </c>
      <c r="M13" s="4">
        <v>0</v>
      </c>
      <c r="N13" s="5"/>
      <c r="O13" s="1" t="s">
        <v>31</v>
      </c>
    </row>
    <row r="14" spans="1:15" ht="27.6" x14ac:dyDescent="0.3">
      <c r="A14" s="1">
        <v>0.13</v>
      </c>
      <c r="B14" s="1" t="s">
        <v>26</v>
      </c>
      <c r="C14" s="5" t="s">
        <v>72</v>
      </c>
      <c r="D14" s="5" t="s">
        <v>73</v>
      </c>
      <c r="E14" s="2">
        <v>46307</v>
      </c>
      <c r="F14" s="2">
        <v>46315</v>
      </c>
      <c r="G14" s="3">
        <f t="shared" si="0"/>
        <v>7</v>
      </c>
      <c r="H14" s="1" t="s">
        <v>74</v>
      </c>
      <c r="I14" s="1" t="s">
        <v>75</v>
      </c>
      <c r="J14" s="5"/>
      <c r="K14" s="1" t="s">
        <v>30</v>
      </c>
      <c r="L14" s="1" t="s">
        <v>8</v>
      </c>
      <c r="M14" s="4">
        <v>0</v>
      </c>
      <c r="N14" s="5"/>
      <c r="O14" s="1" t="s">
        <v>31</v>
      </c>
    </row>
    <row r="15" spans="1:15" ht="27.6" x14ac:dyDescent="0.3">
      <c r="A15" s="1">
        <v>0.14000000000000001</v>
      </c>
      <c r="B15" s="1" t="s">
        <v>26</v>
      </c>
      <c r="C15" s="5" t="s">
        <v>76</v>
      </c>
      <c r="D15" s="5" t="s">
        <v>77</v>
      </c>
      <c r="E15" s="2">
        <v>46316</v>
      </c>
      <c r="F15" s="2">
        <v>46316</v>
      </c>
      <c r="G15" s="3">
        <f t="shared" si="0"/>
        <v>1</v>
      </c>
      <c r="H15" s="1" t="s">
        <v>16</v>
      </c>
      <c r="I15" s="1">
        <v>0.13</v>
      </c>
      <c r="J15" s="5"/>
      <c r="K15" s="1" t="s">
        <v>30</v>
      </c>
      <c r="L15" s="1" t="s">
        <v>8</v>
      </c>
      <c r="M15" s="4">
        <v>0</v>
      </c>
      <c r="N15" s="5"/>
      <c r="O15" s="1" t="s">
        <v>78</v>
      </c>
    </row>
    <row r="16" spans="1:15" ht="27.6" x14ac:dyDescent="0.3">
      <c r="A16" s="1">
        <v>1.1000000000000001</v>
      </c>
      <c r="B16" s="1" t="s">
        <v>79</v>
      </c>
      <c r="C16" s="5" t="s">
        <v>80</v>
      </c>
      <c r="D16" s="5" t="s">
        <v>81</v>
      </c>
      <c r="E16" s="2">
        <v>46307</v>
      </c>
      <c r="F16" s="2">
        <v>46318</v>
      </c>
      <c r="G16" s="3">
        <f t="shared" si="0"/>
        <v>10</v>
      </c>
      <c r="H16" s="1" t="s">
        <v>70</v>
      </c>
      <c r="I16" s="1" t="s">
        <v>82</v>
      </c>
      <c r="J16" s="5"/>
      <c r="K16" s="1" t="s">
        <v>83</v>
      </c>
      <c r="L16" s="1" t="s">
        <v>8</v>
      </c>
      <c r="M16" s="4">
        <v>0</v>
      </c>
      <c r="N16" s="5"/>
      <c r="O16" s="1" t="s">
        <v>31</v>
      </c>
    </row>
    <row r="17" spans="1:15" ht="27.6" x14ac:dyDescent="0.3">
      <c r="A17" s="1">
        <v>1.2</v>
      </c>
      <c r="B17" s="1" t="s">
        <v>79</v>
      </c>
      <c r="C17" s="5" t="s">
        <v>84</v>
      </c>
      <c r="D17" s="5" t="s">
        <v>85</v>
      </c>
      <c r="E17" s="2">
        <v>46314</v>
      </c>
      <c r="F17" s="2">
        <v>46322</v>
      </c>
      <c r="G17" s="3">
        <f t="shared" si="0"/>
        <v>7</v>
      </c>
      <c r="H17" s="1" t="s">
        <v>70</v>
      </c>
      <c r="I17" s="1">
        <v>1.1000000000000001</v>
      </c>
      <c r="J17" s="5" t="s">
        <v>86</v>
      </c>
      <c r="K17" s="1" t="s">
        <v>83</v>
      </c>
      <c r="L17" s="1" t="s">
        <v>8</v>
      </c>
      <c r="M17" s="4">
        <v>0</v>
      </c>
      <c r="N17" s="5"/>
      <c r="O17" s="1" t="s">
        <v>31</v>
      </c>
    </row>
    <row r="18" spans="1:15" ht="27.6" x14ac:dyDescent="0.3">
      <c r="A18" s="1">
        <v>1.3</v>
      </c>
      <c r="B18" s="1" t="s">
        <v>79</v>
      </c>
      <c r="C18" s="5" t="s">
        <v>87</v>
      </c>
      <c r="D18" s="5" t="s">
        <v>88</v>
      </c>
      <c r="E18" s="2">
        <v>46314</v>
      </c>
      <c r="F18" s="2">
        <v>46325</v>
      </c>
      <c r="G18" s="3">
        <f t="shared" si="0"/>
        <v>10</v>
      </c>
      <c r="H18" s="1" t="s">
        <v>50</v>
      </c>
      <c r="I18" s="1">
        <v>1.1000000000000001</v>
      </c>
      <c r="J18" s="5"/>
      <c r="K18" s="1" t="s">
        <v>83</v>
      </c>
      <c r="L18" s="1" t="s">
        <v>8</v>
      </c>
      <c r="M18" s="4">
        <v>0</v>
      </c>
      <c r="N18" s="5"/>
      <c r="O18" s="1" t="s">
        <v>31</v>
      </c>
    </row>
    <row r="19" spans="1:15" ht="27.6" x14ac:dyDescent="0.3">
      <c r="A19" s="1">
        <v>1.4</v>
      </c>
      <c r="B19" s="1" t="s">
        <v>79</v>
      </c>
      <c r="C19" s="5" t="s">
        <v>89</v>
      </c>
      <c r="D19" s="5" t="s">
        <v>90</v>
      </c>
      <c r="E19" s="2">
        <v>46314</v>
      </c>
      <c r="F19" s="2">
        <v>46322</v>
      </c>
      <c r="G19" s="3">
        <f t="shared" si="0"/>
        <v>7</v>
      </c>
      <c r="H19" s="1" t="s">
        <v>91</v>
      </c>
      <c r="I19" s="1">
        <v>1.1000000000000001</v>
      </c>
      <c r="J19" s="5" t="s">
        <v>92</v>
      </c>
      <c r="K19" s="1" t="s">
        <v>83</v>
      </c>
      <c r="L19" s="1" t="s">
        <v>8</v>
      </c>
      <c r="M19" s="4">
        <v>0</v>
      </c>
      <c r="N19" s="5"/>
      <c r="O19" s="1" t="s">
        <v>31</v>
      </c>
    </row>
    <row r="20" spans="1:15" ht="27.6" x14ac:dyDescent="0.3">
      <c r="A20" s="1">
        <v>1.5</v>
      </c>
      <c r="B20" s="1" t="s">
        <v>79</v>
      </c>
      <c r="C20" s="5" t="s">
        <v>93</v>
      </c>
      <c r="D20" s="5" t="s">
        <v>94</v>
      </c>
      <c r="E20" s="2">
        <v>46314</v>
      </c>
      <c r="F20" s="2">
        <v>46325</v>
      </c>
      <c r="G20" s="3">
        <f t="shared" si="0"/>
        <v>10</v>
      </c>
      <c r="H20" s="1" t="s">
        <v>9</v>
      </c>
      <c r="I20" s="1">
        <v>1.1000000000000001</v>
      </c>
      <c r="J20" s="5" t="s">
        <v>95</v>
      </c>
      <c r="K20" s="1" t="s">
        <v>83</v>
      </c>
      <c r="L20" s="1" t="s">
        <v>8</v>
      </c>
      <c r="M20" s="4">
        <v>0</v>
      </c>
      <c r="N20" s="5"/>
      <c r="O20" s="1" t="s">
        <v>31</v>
      </c>
    </row>
    <row r="21" spans="1:15" ht="27.6" x14ac:dyDescent="0.3">
      <c r="A21" s="1">
        <v>1.6</v>
      </c>
      <c r="B21" s="1" t="s">
        <v>79</v>
      </c>
      <c r="C21" s="5" t="s">
        <v>96</v>
      </c>
      <c r="D21" s="5" t="s">
        <v>97</v>
      </c>
      <c r="E21" s="2">
        <v>46316</v>
      </c>
      <c r="F21" s="2">
        <v>46325</v>
      </c>
      <c r="G21" s="3">
        <f t="shared" si="0"/>
        <v>8</v>
      </c>
      <c r="H21" s="1" t="s">
        <v>98</v>
      </c>
      <c r="I21" s="1">
        <v>1.3</v>
      </c>
      <c r="J21" s="5" t="s">
        <v>99</v>
      </c>
      <c r="K21" s="1" t="s">
        <v>83</v>
      </c>
      <c r="L21" s="1" t="s">
        <v>8</v>
      </c>
      <c r="M21" s="4">
        <v>0</v>
      </c>
      <c r="N21" s="5"/>
      <c r="O21" s="1" t="s">
        <v>31</v>
      </c>
    </row>
    <row r="22" spans="1:15" ht="27.6" x14ac:dyDescent="0.3">
      <c r="A22" s="1">
        <v>1.7</v>
      </c>
      <c r="B22" s="1" t="s">
        <v>79</v>
      </c>
      <c r="C22" s="5" t="s">
        <v>100</v>
      </c>
      <c r="D22" s="5" t="s">
        <v>101</v>
      </c>
      <c r="E22" s="2">
        <v>46314</v>
      </c>
      <c r="F22" s="2">
        <v>46322</v>
      </c>
      <c r="G22" s="3">
        <f t="shared" si="0"/>
        <v>7</v>
      </c>
      <c r="H22" s="1" t="s">
        <v>102</v>
      </c>
      <c r="I22" s="1">
        <v>0.12</v>
      </c>
      <c r="J22" s="5" t="s">
        <v>103</v>
      </c>
      <c r="K22" s="1" t="s">
        <v>83</v>
      </c>
      <c r="L22" s="1" t="s">
        <v>8</v>
      </c>
      <c r="M22" s="4">
        <v>0</v>
      </c>
      <c r="N22" s="5"/>
      <c r="O22" s="1" t="s">
        <v>31</v>
      </c>
    </row>
    <row r="23" spans="1:15" ht="27.6" x14ac:dyDescent="0.3">
      <c r="A23" s="1">
        <v>1.8</v>
      </c>
      <c r="B23" s="1" t="s">
        <v>79</v>
      </c>
      <c r="C23" s="5" t="s">
        <v>104</v>
      </c>
      <c r="D23" s="5" t="s">
        <v>105</v>
      </c>
      <c r="E23" s="2">
        <v>46307</v>
      </c>
      <c r="F23" s="2">
        <v>46325</v>
      </c>
      <c r="G23" s="3">
        <f t="shared" si="0"/>
        <v>15</v>
      </c>
      <c r="H23" s="1" t="s">
        <v>106</v>
      </c>
      <c r="I23" s="1">
        <v>0.14000000000000001</v>
      </c>
      <c r="J23" s="5"/>
      <c r="K23" s="1" t="s">
        <v>83</v>
      </c>
      <c r="L23" s="1" t="s">
        <v>8</v>
      </c>
      <c r="M23" s="4">
        <v>0</v>
      </c>
      <c r="N23" s="5"/>
      <c r="O23" s="1" t="s">
        <v>31</v>
      </c>
    </row>
    <row r="24" spans="1:15" ht="27.6" x14ac:dyDescent="0.3">
      <c r="A24" s="1">
        <v>1.9</v>
      </c>
      <c r="B24" s="1" t="s">
        <v>79</v>
      </c>
      <c r="C24" s="5" t="s">
        <v>107</v>
      </c>
      <c r="D24" s="5" t="s">
        <v>108</v>
      </c>
      <c r="E24" s="2">
        <v>46307</v>
      </c>
      <c r="F24" s="2">
        <v>46311</v>
      </c>
      <c r="G24" s="3">
        <f t="shared" si="0"/>
        <v>5</v>
      </c>
      <c r="H24" s="1" t="s">
        <v>109</v>
      </c>
      <c r="I24" s="1">
        <v>0.14000000000000001</v>
      </c>
      <c r="J24" s="5" t="s">
        <v>86</v>
      </c>
      <c r="K24" s="1" t="s">
        <v>83</v>
      </c>
      <c r="L24" s="1" t="s">
        <v>8</v>
      </c>
      <c r="M24" s="4">
        <v>0</v>
      </c>
      <c r="N24" s="5"/>
      <c r="O24" s="1" t="s">
        <v>31</v>
      </c>
    </row>
    <row r="25" spans="1:15" ht="27.6" x14ac:dyDescent="0.3">
      <c r="A25" s="1">
        <v>1.1000000000000001</v>
      </c>
      <c r="B25" s="1" t="s">
        <v>79</v>
      </c>
      <c r="C25" s="5" t="s">
        <v>110</v>
      </c>
      <c r="D25" s="5" t="s">
        <v>111</v>
      </c>
      <c r="E25" s="2">
        <v>46314</v>
      </c>
      <c r="F25" s="2">
        <v>46325</v>
      </c>
      <c r="G25" s="3">
        <f t="shared" si="0"/>
        <v>10</v>
      </c>
      <c r="H25" s="1" t="s">
        <v>109</v>
      </c>
      <c r="I25" s="1">
        <v>1.9</v>
      </c>
      <c r="J25" s="5" t="s">
        <v>112</v>
      </c>
      <c r="K25" s="1" t="s">
        <v>83</v>
      </c>
      <c r="L25" s="1" t="s">
        <v>8</v>
      </c>
      <c r="M25" s="4">
        <v>0</v>
      </c>
      <c r="N25" s="5"/>
      <c r="O25" s="1" t="s">
        <v>31</v>
      </c>
    </row>
    <row r="26" spans="1:15" ht="27.6" x14ac:dyDescent="0.3">
      <c r="A26" s="1">
        <v>1.1100000000000001</v>
      </c>
      <c r="B26" s="1" t="s">
        <v>79</v>
      </c>
      <c r="C26" s="5" t="s">
        <v>113</v>
      </c>
      <c r="D26" s="5" t="s">
        <v>114</v>
      </c>
      <c r="E26" s="2">
        <v>46321</v>
      </c>
      <c r="F26" s="2">
        <v>46332</v>
      </c>
      <c r="G26" s="3">
        <f t="shared" si="0"/>
        <v>10</v>
      </c>
      <c r="H26" s="1" t="s">
        <v>109</v>
      </c>
      <c r="I26" s="1" t="s">
        <v>115</v>
      </c>
      <c r="J26" s="5" t="s">
        <v>112</v>
      </c>
      <c r="K26" s="1" t="s">
        <v>83</v>
      </c>
      <c r="L26" s="1" t="s">
        <v>8</v>
      </c>
      <c r="M26" s="4">
        <v>0</v>
      </c>
      <c r="N26" s="5"/>
      <c r="O26" s="1" t="s">
        <v>31</v>
      </c>
    </row>
    <row r="27" spans="1:15" ht="27.6" x14ac:dyDescent="0.3">
      <c r="A27" s="1">
        <v>1.1200000000000001</v>
      </c>
      <c r="B27" s="1" t="s">
        <v>79</v>
      </c>
      <c r="C27" s="5" t="s">
        <v>116</v>
      </c>
      <c r="D27" s="5" t="s">
        <v>117</v>
      </c>
      <c r="E27" s="2">
        <v>46321</v>
      </c>
      <c r="F27" s="2">
        <v>46332</v>
      </c>
      <c r="G27" s="3">
        <f t="shared" si="0"/>
        <v>10</v>
      </c>
      <c r="H27" s="1" t="s">
        <v>118</v>
      </c>
      <c r="I27" s="1" t="s">
        <v>119</v>
      </c>
      <c r="J27" s="5" t="s">
        <v>103</v>
      </c>
      <c r="K27" s="1" t="s">
        <v>83</v>
      </c>
      <c r="L27" s="1" t="s">
        <v>8</v>
      </c>
      <c r="M27" s="4">
        <v>0</v>
      </c>
      <c r="N27" s="5"/>
      <c r="O27" s="1" t="s">
        <v>31</v>
      </c>
    </row>
    <row r="28" spans="1:15" ht="27.6" x14ac:dyDescent="0.3">
      <c r="A28" s="1">
        <v>1.1299999999999999</v>
      </c>
      <c r="B28" s="1" t="s">
        <v>79</v>
      </c>
      <c r="C28" s="5" t="s">
        <v>120</v>
      </c>
      <c r="D28" s="5" t="s">
        <v>121</v>
      </c>
      <c r="E28" s="2">
        <v>46321</v>
      </c>
      <c r="F28" s="2">
        <v>46332</v>
      </c>
      <c r="G28" s="3">
        <f t="shared" si="0"/>
        <v>10</v>
      </c>
      <c r="H28" s="1" t="s">
        <v>11</v>
      </c>
      <c r="I28" s="1" t="s">
        <v>122</v>
      </c>
      <c r="J28" s="5" t="s">
        <v>123</v>
      </c>
      <c r="K28" s="1" t="s">
        <v>83</v>
      </c>
      <c r="L28" s="1" t="s">
        <v>8</v>
      </c>
      <c r="M28" s="4">
        <v>0</v>
      </c>
      <c r="N28" s="5"/>
      <c r="O28" s="1" t="s">
        <v>31</v>
      </c>
    </row>
    <row r="29" spans="1:15" ht="27.6" x14ac:dyDescent="0.3">
      <c r="A29" s="1">
        <v>1.1399999999999999</v>
      </c>
      <c r="B29" s="1" t="s">
        <v>79</v>
      </c>
      <c r="C29" s="5" t="s">
        <v>124</v>
      </c>
      <c r="D29" s="5" t="s">
        <v>125</v>
      </c>
      <c r="E29" s="2">
        <v>46321</v>
      </c>
      <c r="F29" s="2">
        <v>46332</v>
      </c>
      <c r="G29" s="3">
        <f t="shared" si="0"/>
        <v>10</v>
      </c>
      <c r="H29" s="1" t="s">
        <v>10</v>
      </c>
      <c r="I29" s="1" t="s">
        <v>126</v>
      </c>
      <c r="J29" s="5" t="s">
        <v>86</v>
      </c>
      <c r="K29" s="1" t="s">
        <v>83</v>
      </c>
      <c r="L29" s="1" t="s">
        <v>8</v>
      </c>
      <c r="M29" s="4">
        <v>0</v>
      </c>
      <c r="N29" s="5"/>
      <c r="O29" s="1" t="s">
        <v>31</v>
      </c>
    </row>
    <row r="30" spans="1:15" ht="27.6" x14ac:dyDescent="0.3">
      <c r="A30" s="1">
        <v>1.1499999999999999</v>
      </c>
      <c r="B30" s="1" t="s">
        <v>79</v>
      </c>
      <c r="C30" s="5" t="s">
        <v>127</v>
      </c>
      <c r="D30" s="5" t="s">
        <v>128</v>
      </c>
      <c r="E30" s="2">
        <v>46328</v>
      </c>
      <c r="F30" s="2">
        <v>46339</v>
      </c>
      <c r="G30" s="3">
        <f t="shared" si="0"/>
        <v>10</v>
      </c>
      <c r="H30" s="1" t="s">
        <v>129</v>
      </c>
      <c r="I30" s="1" t="s">
        <v>130</v>
      </c>
      <c r="J30" s="5" t="s">
        <v>131</v>
      </c>
      <c r="K30" s="1" t="s">
        <v>83</v>
      </c>
      <c r="L30" s="1" t="s">
        <v>8</v>
      </c>
      <c r="M30" s="4">
        <v>0</v>
      </c>
      <c r="N30" s="5"/>
      <c r="O30" s="1" t="s">
        <v>31</v>
      </c>
    </row>
    <row r="31" spans="1:15" ht="27.6" x14ac:dyDescent="0.3">
      <c r="A31" s="1">
        <v>1.1599999999999999</v>
      </c>
      <c r="B31" s="1" t="s">
        <v>79</v>
      </c>
      <c r="C31" s="5" t="s">
        <v>132</v>
      </c>
      <c r="D31" s="5" t="s">
        <v>133</v>
      </c>
      <c r="E31" s="2">
        <v>46342</v>
      </c>
      <c r="F31" s="2">
        <v>46342</v>
      </c>
      <c r="G31" s="3">
        <f t="shared" si="0"/>
        <v>1</v>
      </c>
      <c r="H31" s="1" t="s">
        <v>134</v>
      </c>
      <c r="I31" s="1" t="s">
        <v>135</v>
      </c>
      <c r="J31" s="5"/>
      <c r="K31" s="1" t="s">
        <v>83</v>
      </c>
      <c r="L31" s="1" t="s">
        <v>8</v>
      </c>
      <c r="M31" s="4">
        <v>0</v>
      </c>
      <c r="N31" s="5"/>
      <c r="O31" s="1" t="s">
        <v>78</v>
      </c>
    </row>
    <row r="32" spans="1:15" ht="27.6" x14ac:dyDescent="0.3">
      <c r="A32" s="1">
        <v>2.1</v>
      </c>
      <c r="B32" s="1" t="s">
        <v>136</v>
      </c>
      <c r="C32" s="5" t="s">
        <v>137</v>
      </c>
      <c r="D32" s="5" t="s">
        <v>138</v>
      </c>
      <c r="E32" s="2">
        <v>46328</v>
      </c>
      <c r="F32" s="2">
        <v>46339</v>
      </c>
      <c r="G32" s="3">
        <f t="shared" si="0"/>
        <v>10</v>
      </c>
      <c r="H32" s="1" t="s">
        <v>139</v>
      </c>
      <c r="I32" s="1" t="s">
        <v>140</v>
      </c>
      <c r="J32" s="5" t="s">
        <v>141</v>
      </c>
      <c r="K32" s="1" t="s">
        <v>142</v>
      </c>
      <c r="L32" s="1" t="s">
        <v>8</v>
      </c>
      <c r="M32" s="4">
        <v>0</v>
      </c>
      <c r="N32" s="5"/>
      <c r="O32" s="1" t="s">
        <v>31</v>
      </c>
    </row>
    <row r="33" spans="1:15" ht="27.6" x14ac:dyDescent="0.3">
      <c r="A33" s="1">
        <v>2.2000000000000002</v>
      </c>
      <c r="B33" s="1" t="s">
        <v>136</v>
      </c>
      <c r="C33" s="5" t="s">
        <v>143</v>
      </c>
      <c r="D33" s="5" t="s">
        <v>144</v>
      </c>
      <c r="E33" s="2">
        <v>46335</v>
      </c>
      <c r="F33" s="2">
        <v>46346</v>
      </c>
      <c r="G33" s="3">
        <f t="shared" si="0"/>
        <v>10</v>
      </c>
      <c r="H33" s="1" t="s">
        <v>118</v>
      </c>
      <c r="I33" s="1" t="s">
        <v>145</v>
      </c>
      <c r="J33" s="5" t="s">
        <v>146</v>
      </c>
      <c r="K33" s="1" t="s">
        <v>142</v>
      </c>
      <c r="L33" s="1" t="s">
        <v>8</v>
      </c>
      <c r="M33" s="4">
        <v>0</v>
      </c>
      <c r="N33" s="5"/>
      <c r="O33" s="1" t="s">
        <v>31</v>
      </c>
    </row>
    <row r="34" spans="1:15" ht="27.6" x14ac:dyDescent="0.3">
      <c r="A34" s="1">
        <v>2.2999999999999998</v>
      </c>
      <c r="B34" s="1" t="s">
        <v>136</v>
      </c>
      <c r="C34" s="5" t="s">
        <v>147</v>
      </c>
      <c r="D34" s="5" t="s">
        <v>148</v>
      </c>
      <c r="E34" s="2">
        <v>46335</v>
      </c>
      <c r="F34" s="2">
        <v>46346</v>
      </c>
      <c r="G34" s="3">
        <f t="shared" si="0"/>
        <v>10</v>
      </c>
      <c r="H34" s="1" t="s">
        <v>11</v>
      </c>
      <c r="I34" s="1" t="s">
        <v>149</v>
      </c>
      <c r="J34" s="5" t="s">
        <v>150</v>
      </c>
      <c r="K34" s="1" t="s">
        <v>142</v>
      </c>
      <c r="L34" s="1" t="s">
        <v>8</v>
      </c>
      <c r="M34" s="4">
        <v>0</v>
      </c>
      <c r="N34" s="5"/>
      <c r="O34" s="1" t="s">
        <v>31</v>
      </c>
    </row>
    <row r="35" spans="1:15" ht="27.6" x14ac:dyDescent="0.3">
      <c r="A35" s="1">
        <v>2.4</v>
      </c>
      <c r="B35" s="1" t="s">
        <v>136</v>
      </c>
      <c r="C35" s="5" t="s">
        <v>151</v>
      </c>
      <c r="D35" s="5" t="s">
        <v>152</v>
      </c>
      <c r="E35" s="2">
        <v>46342</v>
      </c>
      <c r="F35" s="2">
        <v>46353</v>
      </c>
      <c r="G35" s="3">
        <f t="shared" si="0"/>
        <v>10</v>
      </c>
      <c r="H35" s="1" t="s">
        <v>139</v>
      </c>
      <c r="I35" s="1" t="s">
        <v>153</v>
      </c>
      <c r="J35" s="5" t="s">
        <v>154</v>
      </c>
      <c r="K35" s="1" t="s">
        <v>142</v>
      </c>
      <c r="L35" s="1" t="s">
        <v>8</v>
      </c>
      <c r="M35" s="4">
        <v>0</v>
      </c>
      <c r="N35" s="5"/>
      <c r="O35" s="1" t="s">
        <v>31</v>
      </c>
    </row>
    <row r="36" spans="1:15" ht="27.6" x14ac:dyDescent="0.3">
      <c r="A36" s="1">
        <v>2.5</v>
      </c>
      <c r="B36" s="1" t="s">
        <v>136</v>
      </c>
      <c r="C36" s="5" t="s">
        <v>155</v>
      </c>
      <c r="D36" s="5" t="s">
        <v>156</v>
      </c>
      <c r="E36" s="2">
        <v>46349</v>
      </c>
      <c r="F36" s="2">
        <v>46360</v>
      </c>
      <c r="G36" s="3">
        <f t="shared" si="0"/>
        <v>10</v>
      </c>
      <c r="H36" s="1" t="s">
        <v>11</v>
      </c>
      <c r="I36" s="1">
        <v>2.4</v>
      </c>
      <c r="J36" s="5" t="s">
        <v>157</v>
      </c>
      <c r="K36" s="1" t="s">
        <v>142</v>
      </c>
      <c r="L36" s="1" t="s">
        <v>8</v>
      </c>
      <c r="M36" s="4">
        <v>0</v>
      </c>
      <c r="N36" s="5"/>
      <c r="O36" s="1" t="s">
        <v>31</v>
      </c>
    </row>
    <row r="37" spans="1:15" ht="27.6" x14ac:dyDescent="0.3">
      <c r="A37" s="1">
        <v>2.6</v>
      </c>
      <c r="B37" s="1" t="s">
        <v>136</v>
      </c>
      <c r="C37" s="5" t="s">
        <v>158</v>
      </c>
      <c r="D37" s="5" t="s">
        <v>159</v>
      </c>
      <c r="E37" s="2">
        <v>46349</v>
      </c>
      <c r="F37" s="2">
        <v>46360</v>
      </c>
      <c r="G37" s="3">
        <f t="shared" si="0"/>
        <v>10</v>
      </c>
      <c r="H37" s="1" t="s">
        <v>118</v>
      </c>
      <c r="I37" s="1" t="s">
        <v>160</v>
      </c>
      <c r="J37" s="5" t="s">
        <v>161</v>
      </c>
      <c r="K37" s="1" t="s">
        <v>142</v>
      </c>
      <c r="L37" s="1" t="s">
        <v>8</v>
      </c>
      <c r="M37" s="4">
        <v>0</v>
      </c>
      <c r="N37" s="5"/>
      <c r="O37" s="1" t="s">
        <v>31</v>
      </c>
    </row>
    <row r="38" spans="1:15" ht="27.6" x14ac:dyDescent="0.3">
      <c r="A38" s="1">
        <v>2.7</v>
      </c>
      <c r="B38" s="1" t="s">
        <v>136</v>
      </c>
      <c r="C38" s="5" t="s">
        <v>162</v>
      </c>
      <c r="D38" s="5" t="s">
        <v>163</v>
      </c>
      <c r="E38" s="2">
        <v>46356</v>
      </c>
      <c r="F38" s="2">
        <v>46367</v>
      </c>
      <c r="G38" s="3">
        <f t="shared" si="0"/>
        <v>10</v>
      </c>
      <c r="H38" s="1" t="s">
        <v>11</v>
      </c>
      <c r="I38" s="1" t="s">
        <v>164</v>
      </c>
      <c r="J38" s="5" t="s">
        <v>165</v>
      </c>
      <c r="K38" s="1" t="s">
        <v>142</v>
      </c>
      <c r="L38" s="1" t="s">
        <v>8</v>
      </c>
      <c r="M38" s="4">
        <v>0</v>
      </c>
      <c r="N38" s="5"/>
      <c r="O38" s="1" t="s">
        <v>31</v>
      </c>
    </row>
    <row r="39" spans="1:15" ht="27.6" x14ac:dyDescent="0.3">
      <c r="A39" s="1">
        <v>2.8</v>
      </c>
      <c r="B39" s="1" t="s">
        <v>136</v>
      </c>
      <c r="C39" s="5" t="s">
        <v>166</v>
      </c>
      <c r="D39" s="5" t="s">
        <v>167</v>
      </c>
      <c r="E39" s="2">
        <v>46356</v>
      </c>
      <c r="F39" s="2">
        <v>46374</v>
      </c>
      <c r="G39" s="3">
        <f t="shared" si="0"/>
        <v>15</v>
      </c>
      <c r="H39" s="1" t="s">
        <v>12</v>
      </c>
      <c r="I39" s="1" t="s">
        <v>168</v>
      </c>
      <c r="J39" s="5" t="s">
        <v>169</v>
      </c>
      <c r="K39" s="1" t="s">
        <v>142</v>
      </c>
      <c r="L39" s="1" t="s">
        <v>8</v>
      </c>
      <c r="M39" s="4">
        <v>0</v>
      </c>
      <c r="N39" s="5"/>
      <c r="O39" s="1" t="s">
        <v>31</v>
      </c>
    </row>
    <row r="40" spans="1:15" ht="27.6" x14ac:dyDescent="0.3">
      <c r="A40" s="1">
        <v>2.9</v>
      </c>
      <c r="B40" s="1" t="s">
        <v>136</v>
      </c>
      <c r="C40" s="5" t="s">
        <v>170</v>
      </c>
      <c r="D40" s="5" t="s">
        <v>171</v>
      </c>
      <c r="E40" s="2">
        <v>46349</v>
      </c>
      <c r="F40" s="2">
        <v>46367</v>
      </c>
      <c r="G40" s="3">
        <f t="shared" si="0"/>
        <v>15</v>
      </c>
      <c r="H40" s="1" t="s">
        <v>172</v>
      </c>
      <c r="I40" s="1" t="s">
        <v>173</v>
      </c>
      <c r="J40" s="5" t="s">
        <v>174</v>
      </c>
      <c r="K40" s="1" t="s">
        <v>142</v>
      </c>
      <c r="L40" s="1" t="s">
        <v>8</v>
      </c>
      <c r="M40" s="4">
        <v>0</v>
      </c>
      <c r="N40" s="5"/>
      <c r="O40" s="1" t="s">
        <v>31</v>
      </c>
    </row>
    <row r="41" spans="1:15" ht="27.6" x14ac:dyDescent="0.3">
      <c r="A41" s="1">
        <v>2.1</v>
      </c>
      <c r="B41" s="1" t="s">
        <v>136</v>
      </c>
      <c r="C41" s="5" t="s">
        <v>175</v>
      </c>
      <c r="D41" s="5" t="s">
        <v>176</v>
      </c>
      <c r="E41" s="2">
        <v>46363</v>
      </c>
      <c r="F41" s="2">
        <v>46374</v>
      </c>
      <c r="G41" s="3">
        <f t="shared" si="0"/>
        <v>10</v>
      </c>
      <c r="H41" s="1" t="s">
        <v>172</v>
      </c>
      <c r="I41" s="1">
        <v>2.5</v>
      </c>
      <c r="J41" s="5" t="s">
        <v>177</v>
      </c>
      <c r="K41" s="1" t="s">
        <v>142</v>
      </c>
      <c r="L41" s="1" t="s">
        <v>8</v>
      </c>
      <c r="M41" s="4">
        <v>0</v>
      </c>
      <c r="N41" s="5"/>
      <c r="O41" s="1" t="s">
        <v>31</v>
      </c>
    </row>
    <row r="42" spans="1:15" ht="27.6" x14ac:dyDescent="0.3">
      <c r="A42" s="1">
        <v>2.11</v>
      </c>
      <c r="B42" s="1" t="s">
        <v>136</v>
      </c>
      <c r="C42" s="5" t="s">
        <v>178</v>
      </c>
      <c r="D42" s="5" t="s">
        <v>179</v>
      </c>
      <c r="E42" s="2">
        <v>46370</v>
      </c>
      <c r="F42" s="2">
        <v>46380</v>
      </c>
      <c r="G42" s="3">
        <f t="shared" si="0"/>
        <v>9</v>
      </c>
      <c r="H42" s="1" t="s">
        <v>180</v>
      </c>
      <c r="I42" s="1" t="s">
        <v>181</v>
      </c>
      <c r="J42" s="5" t="s">
        <v>182</v>
      </c>
      <c r="K42" s="1" t="s">
        <v>142</v>
      </c>
      <c r="L42" s="1" t="s">
        <v>8</v>
      </c>
      <c r="M42" s="4">
        <v>0</v>
      </c>
      <c r="N42" s="5"/>
      <c r="O42" s="1" t="s">
        <v>31</v>
      </c>
    </row>
    <row r="43" spans="1:15" ht="27.6" x14ac:dyDescent="0.3">
      <c r="A43" s="1">
        <v>2.12</v>
      </c>
      <c r="B43" s="1" t="s">
        <v>136</v>
      </c>
      <c r="C43" s="5" t="s">
        <v>183</v>
      </c>
      <c r="D43" s="5" t="s">
        <v>184</v>
      </c>
      <c r="E43" s="2">
        <v>46370</v>
      </c>
      <c r="F43" s="2">
        <v>46395</v>
      </c>
      <c r="G43" s="3">
        <f t="shared" si="0"/>
        <v>20</v>
      </c>
      <c r="H43" s="1" t="s">
        <v>185</v>
      </c>
      <c r="I43" s="1" t="s">
        <v>186</v>
      </c>
      <c r="J43" s="5" t="s">
        <v>187</v>
      </c>
      <c r="K43" s="1" t="s">
        <v>142</v>
      </c>
      <c r="L43" s="1" t="s">
        <v>8</v>
      </c>
      <c r="M43" s="4">
        <v>0</v>
      </c>
      <c r="N43" s="5"/>
      <c r="O43" s="1" t="s">
        <v>31</v>
      </c>
    </row>
    <row r="44" spans="1:15" ht="27.6" x14ac:dyDescent="0.3">
      <c r="A44" s="1">
        <v>2.13</v>
      </c>
      <c r="B44" s="1" t="s">
        <v>136</v>
      </c>
      <c r="C44" s="5" t="s">
        <v>188</v>
      </c>
      <c r="D44" s="5" t="s">
        <v>189</v>
      </c>
      <c r="E44" s="2">
        <v>46398</v>
      </c>
      <c r="F44" s="2">
        <v>46398</v>
      </c>
      <c r="G44" s="3">
        <f t="shared" si="0"/>
        <v>1</v>
      </c>
      <c r="H44" s="1" t="s">
        <v>190</v>
      </c>
      <c r="I44" s="1" t="s">
        <v>191</v>
      </c>
      <c r="J44" s="5"/>
      <c r="K44" s="1" t="s">
        <v>142</v>
      </c>
      <c r="L44" s="1" t="s">
        <v>8</v>
      </c>
      <c r="M44" s="4">
        <v>0</v>
      </c>
      <c r="N44" s="5"/>
      <c r="O44" s="1" t="s">
        <v>78</v>
      </c>
    </row>
    <row r="45" spans="1:15" ht="27.6" x14ac:dyDescent="0.3">
      <c r="A45" s="1">
        <v>3.1</v>
      </c>
      <c r="B45" s="1" t="s">
        <v>192</v>
      </c>
      <c r="C45" s="5" t="s">
        <v>193</v>
      </c>
      <c r="D45" s="5" t="s">
        <v>194</v>
      </c>
      <c r="E45" s="2">
        <v>46342</v>
      </c>
      <c r="F45" s="2">
        <v>46353</v>
      </c>
      <c r="G45" s="3">
        <f t="shared" si="0"/>
        <v>10</v>
      </c>
      <c r="H45" s="1" t="s">
        <v>195</v>
      </c>
      <c r="I45" s="1" t="s">
        <v>196</v>
      </c>
      <c r="J45" s="5" t="s">
        <v>197</v>
      </c>
      <c r="K45" s="1" t="s">
        <v>198</v>
      </c>
      <c r="L45" s="1" t="s">
        <v>8</v>
      </c>
      <c r="M45" s="4">
        <v>0</v>
      </c>
      <c r="N45" s="5"/>
      <c r="O45" s="1" t="s">
        <v>31</v>
      </c>
    </row>
    <row r="46" spans="1:15" ht="27.6" x14ac:dyDescent="0.3">
      <c r="A46" s="1">
        <v>3.2</v>
      </c>
      <c r="B46" s="1" t="s">
        <v>192</v>
      </c>
      <c r="C46" s="5" t="s">
        <v>199</v>
      </c>
      <c r="D46" s="5" t="s">
        <v>200</v>
      </c>
      <c r="E46" s="2">
        <v>46349</v>
      </c>
      <c r="F46" s="2">
        <v>46360</v>
      </c>
      <c r="G46" s="3">
        <f t="shared" si="0"/>
        <v>10</v>
      </c>
      <c r="H46" s="1" t="s">
        <v>201</v>
      </c>
      <c r="I46" s="1" t="s">
        <v>202</v>
      </c>
      <c r="J46" s="5" t="s">
        <v>203</v>
      </c>
      <c r="K46" s="1" t="s">
        <v>198</v>
      </c>
      <c r="L46" s="1" t="s">
        <v>8</v>
      </c>
      <c r="M46" s="4">
        <v>0</v>
      </c>
      <c r="N46" s="5"/>
      <c r="O46" s="1" t="s">
        <v>31</v>
      </c>
    </row>
    <row r="47" spans="1:15" ht="27.6" x14ac:dyDescent="0.3">
      <c r="A47" s="1">
        <v>3.3</v>
      </c>
      <c r="B47" s="1" t="s">
        <v>192</v>
      </c>
      <c r="C47" s="5" t="s">
        <v>204</v>
      </c>
      <c r="D47" s="5" t="s">
        <v>205</v>
      </c>
      <c r="E47" s="2">
        <v>46356</v>
      </c>
      <c r="F47" s="2">
        <v>46367</v>
      </c>
      <c r="G47" s="3">
        <f t="shared" si="0"/>
        <v>10</v>
      </c>
      <c r="H47" s="1" t="s">
        <v>11</v>
      </c>
      <c r="I47" s="1" t="s">
        <v>206</v>
      </c>
      <c r="J47" s="5" t="s">
        <v>207</v>
      </c>
      <c r="K47" s="1" t="s">
        <v>198</v>
      </c>
      <c r="L47" s="1" t="s">
        <v>8</v>
      </c>
      <c r="M47" s="4">
        <v>0</v>
      </c>
      <c r="N47" s="5"/>
      <c r="O47" s="1" t="s">
        <v>31</v>
      </c>
    </row>
    <row r="48" spans="1:15" ht="27.6" x14ac:dyDescent="0.3">
      <c r="A48" s="1">
        <v>3.4</v>
      </c>
      <c r="B48" s="1" t="s">
        <v>192</v>
      </c>
      <c r="C48" s="5" t="s">
        <v>208</v>
      </c>
      <c r="D48" s="5" t="s">
        <v>209</v>
      </c>
      <c r="E48" s="2">
        <v>46363</v>
      </c>
      <c r="F48" s="2">
        <v>46374</v>
      </c>
      <c r="G48" s="3">
        <f t="shared" si="0"/>
        <v>10</v>
      </c>
      <c r="H48" s="1" t="s">
        <v>210</v>
      </c>
      <c r="I48" s="1">
        <v>3.3</v>
      </c>
      <c r="J48" s="5" t="s">
        <v>211</v>
      </c>
      <c r="K48" s="1" t="s">
        <v>198</v>
      </c>
      <c r="L48" s="1" t="s">
        <v>8</v>
      </c>
      <c r="M48" s="4">
        <v>0</v>
      </c>
      <c r="N48" s="5"/>
      <c r="O48" s="1" t="s">
        <v>31</v>
      </c>
    </row>
    <row r="49" spans="1:15" ht="27.6" x14ac:dyDescent="0.3">
      <c r="A49" s="1">
        <v>3.5</v>
      </c>
      <c r="B49" s="1" t="s">
        <v>192</v>
      </c>
      <c r="C49" s="5" t="s">
        <v>212</v>
      </c>
      <c r="D49" s="5" t="s">
        <v>213</v>
      </c>
      <c r="E49" s="2">
        <v>46370</v>
      </c>
      <c r="F49" s="2">
        <v>46395</v>
      </c>
      <c r="G49" s="3">
        <f t="shared" si="0"/>
        <v>20</v>
      </c>
      <c r="H49" s="1" t="s">
        <v>210</v>
      </c>
      <c r="I49" s="1" t="s">
        <v>214</v>
      </c>
      <c r="J49" s="5" t="s">
        <v>215</v>
      </c>
      <c r="K49" s="1" t="s">
        <v>198</v>
      </c>
      <c r="L49" s="1" t="s">
        <v>8</v>
      </c>
      <c r="M49" s="4">
        <v>0</v>
      </c>
      <c r="N49" s="5"/>
      <c r="O49" s="1" t="s">
        <v>31</v>
      </c>
    </row>
    <row r="50" spans="1:15" ht="27.6" x14ac:dyDescent="0.3">
      <c r="A50" s="1">
        <v>3.6</v>
      </c>
      <c r="B50" s="1" t="s">
        <v>192</v>
      </c>
      <c r="C50" s="5" t="s">
        <v>216</v>
      </c>
      <c r="D50" s="5" t="s">
        <v>217</v>
      </c>
      <c r="E50" s="2">
        <v>46363</v>
      </c>
      <c r="F50" s="2">
        <v>46380</v>
      </c>
      <c r="G50" s="3">
        <f t="shared" si="0"/>
        <v>14</v>
      </c>
      <c r="H50" s="1" t="s">
        <v>218</v>
      </c>
      <c r="I50" s="1" t="s">
        <v>219</v>
      </c>
      <c r="J50" s="5" t="s">
        <v>220</v>
      </c>
      <c r="K50" s="1" t="s">
        <v>198</v>
      </c>
      <c r="L50" s="1" t="s">
        <v>8</v>
      </c>
      <c r="M50" s="4">
        <v>0</v>
      </c>
      <c r="N50" s="5"/>
      <c r="O50" s="1" t="s">
        <v>31</v>
      </c>
    </row>
    <row r="51" spans="1:15" ht="27.6" x14ac:dyDescent="0.3">
      <c r="A51" s="1">
        <v>3.7</v>
      </c>
      <c r="B51" s="1" t="s">
        <v>192</v>
      </c>
      <c r="C51" s="5" t="s">
        <v>221</v>
      </c>
      <c r="D51" s="5" t="s">
        <v>222</v>
      </c>
      <c r="E51" s="2">
        <v>46377</v>
      </c>
      <c r="F51" s="2">
        <v>46395</v>
      </c>
      <c r="G51" s="3">
        <f t="shared" si="0"/>
        <v>15</v>
      </c>
      <c r="H51" s="1" t="s">
        <v>11</v>
      </c>
      <c r="I51" s="1" t="s">
        <v>223</v>
      </c>
      <c r="J51" s="5" t="s">
        <v>220</v>
      </c>
      <c r="K51" s="1" t="s">
        <v>198</v>
      </c>
      <c r="L51" s="1" t="s">
        <v>8</v>
      </c>
      <c r="M51" s="4">
        <v>0</v>
      </c>
      <c r="N51" s="5"/>
      <c r="O51" s="1" t="s">
        <v>31</v>
      </c>
    </row>
    <row r="52" spans="1:15" ht="27.6" x14ac:dyDescent="0.3">
      <c r="A52" s="1">
        <v>3.8</v>
      </c>
      <c r="B52" s="1" t="s">
        <v>192</v>
      </c>
      <c r="C52" s="5" t="s">
        <v>224</v>
      </c>
      <c r="D52" s="5" t="s">
        <v>225</v>
      </c>
      <c r="E52" s="2">
        <v>46377</v>
      </c>
      <c r="F52" s="2">
        <v>46402</v>
      </c>
      <c r="G52" s="3">
        <f t="shared" si="0"/>
        <v>20</v>
      </c>
      <c r="H52" s="1" t="s">
        <v>226</v>
      </c>
      <c r="I52" s="1" t="s">
        <v>227</v>
      </c>
      <c r="J52" s="5" t="s">
        <v>228</v>
      </c>
      <c r="K52" s="1" t="s">
        <v>198</v>
      </c>
      <c r="L52" s="1" t="s">
        <v>8</v>
      </c>
      <c r="M52" s="4">
        <v>0</v>
      </c>
      <c r="N52" s="5"/>
      <c r="O52" s="1" t="s">
        <v>31</v>
      </c>
    </row>
    <row r="53" spans="1:15" ht="27.6" x14ac:dyDescent="0.3">
      <c r="A53" s="1">
        <v>3.9</v>
      </c>
      <c r="B53" s="1" t="s">
        <v>192</v>
      </c>
      <c r="C53" s="5" t="s">
        <v>229</v>
      </c>
      <c r="D53" s="5" t="s">
        <v>230</v>
      </c>
      <c r="E53" s="2">
        <v>46398</v>
      </c>
      <c r="F53" s="2">
        <v>46409</v>
      </c>
      <c r="G53" s="3">
        <f t="shared" si="0"/>
        <v>10</v>
      </c>
      <c r="H53" s="1" t="s">
        <v>185</v>
      </c>
      <c r="I53" s="1" t="s">
        <v>231</v>
      </c>
      <c r="J53" s="5" t="s">
        <v>232</v>
      </c>
      <c r="K53" s="1" t="s">
        <v>198</v>
      </c>
      <c r="L53" s="1" t="s">
        <v>8</v>
      </c>
      <c r="M53" s="4">
        <v>0</v>
      </c>
      <c r="N53" s="5"/>
      <c r="O53" s="1" t="s">
        <v>31</v>
      </c>
    </row>
    <row r="54" spans="1:15" ht="27.6" x14ac:dyDescent="0.3">
      <c r="A54" s="1">
        <v>3.1</v>
      </c>
      <c r="B54" s="1" t="s">
        <v>192</v>
      </c>
      <c r="C54" s="5" t="s">
        <v>233</v>
      </c>
      <c r="D54" s="5" t="s">
        <v>234</v>
      </c>
      <c r="E54" s="2">
        <v>46412</v>
      </c>
      <c r="F54" s="2">
        <v>46412</v>
      </c>
      <c r="G54" s="3">
        <f t="shared" si="0"/>
        <v>1</v>
      </c>
      <c r="H54" s="1" t="s">
        <v>195</v>
      </c>
      <c r="I54" s="1">
        <v>3.9</v>
      </c>
      <c r="J54" s="5"/>
      <c r="K54" s="1" t="s">
        <v>198</v>
      </c>
      <c r="L54" s="1" t="s">
        <v>8</v>
      </c>
      <c r="M54" s="4">
        <v>0</v>
      </c>
      <c r="N54" s="5"/>
      <c r="O54" s="1" t="s">
        <v>78</v>
      </c>
    </row>
    <row r="55" spans="1:15" ht="27.6" x14ac:dyDescent="0.3">
      <c r="A55" s="1">
        <v>4.0999999999999996</v>
      </c>
      <c r="B55" s="1" t="s">
        <v>235</v>
      </c>
      <c r="C55" s="5" t="s">
        <v>236</v>
      </c>
      <c r="D55" s="5" t="s">
        <v>237</v>
      </c>
      <c r="E55" s="2">
        <v>46391</v>
      </c>
      <c r="F55" s="2">
        <v>46402</v>
      </c>
      <c r="G55" s="3">
        <f t="shared" si="0"/>
        <v>10</v>
      </c>
      <c r="H55" s="1" t="s">
        <v>238</v>
      </c>
      <c r="I55" s="1" t="s">
        <v>239</v>
      </c>
      <c r="J55" s="5" t="s">
        <v>240</v>
      </c>
      <c r="K55" s="1" t="s">
        <v>241</v>
      </c>
      <c r="L55" s="1" t="s">
        <v>8</v>
      </c>
      <c r="M55" s="4">
        <v>0</v>
      </c>
      <c r="N55" s="5"/>
      <c r="O55" s="1" t="s">
        <v>31</v>
      </c>
    </row>
    <row r="56" spans="1:15" ht="27.6" x14ac:dyDescent="0.3">
      <c r="A56" s="1">
        <v>4.2</v>
      </c>
      <c r="B56" s="1" t="s">
        <v>235</v>
      </c>
      <c r="C56" s="5" t="s">
        <v>242</v>
      </c>
      <c r="D56" s="5" t="s">
        <v>243</v>
      </c>
      <c r="E56" s="2">
        <v>46398</v>
      </c>
      <c r="F56" s="2">
        <v>46416</v>
      </c>
      <c r="G56" s="3">
        <f t="shared" si="0"/>
        <v>15</v>
      </c>
      <c r="H56" s="1" t="s">
        <v>210</v>
      </c>
      <c r="I56" s="1" t="s">
        <v>244</v>
      </c>
      <c r="J56" s="5" t="s">
        <v>245</v>
      </c>
      <c r="K56" s="1" t="s">
        <v>241</v>
      </c>
      <c r="L56" s="1" t="s">
        <v>8</v>
      </c>
      <c r="M56" s="4">
        <v>0</v>
      </c>
      <c r="N56" s="5"/>
      <c r="O56" s="1" t="s">
        <v>31</v>
      </c>
    </row>
    <row r="57" spans="1:15" ht="27.6" x14ac:dyDescent="0.3">
      <c r="A57" s="1">
        <v>4.3</v>
      </c>
      <c r="B57" s="1" t="s">
        <v>235</v>
      </c>
      <c r="C57" s="5" t="s">
        <v>246</v>
      </c>
      <c r="D57" s="5" t="s">
        <v>247</v>
      </c>
      <c r="E57" s="2">
        <v>46405</v>
      </c>
      <c r="F57" s="2">
        <v>46423</v>
      </c>
      <c r="G57" s="3">
        <f t="shared" si="0"/>
        <v>15</v>
      </c>
      <c r="H57" s="1" t="s">
        <v>210</v>
      </c>
      <c r="I57" s="1">
        <v>4.2</v>
      </c>
      <c r="J57" s="5" t="s">
        <v>248</v>
      </c>
      <c r="K57" s="1" t="s">
        <v>241</v>
      </c>
      <c r="L57" s="1" t="s">
        <v>8</v>
      </c>
      <c r="M57" s="4">
        <v>0</v>
      </c>
      <c r="N57" s="5"/>
      <c r="O57" s="1" t="s">
        <v>31</v>
      </c>
    </row>
    <row r="58" spans="1:15" ht="27.6" x14ac:dyDescent="0.3">
      <c r="A58" s="1">
        <v>4.4000000000000004</v>
      </c>
      <c r="B58" s="1" t="s">
        <v>235</v>
      </c>
      <c r="C58" s="5" t="s">
        <v>249</v>
      </c>
      <c r="D58" s="5" t="s">
        <v>250</v>
      </c>
      <c r="E58" s="2">
        <v>46412</v>
      </c>
      <c r="F58" s="2">
        <v>46423</v>
      </c>
      <c r="G58" s="3">
        <f t="shared" si="0"/>
        <v>10</v>
      </c>
      <c r="H58" s="1" t="s">
        <v>118</v>
      </c>
      <c r="I58" s="1" t="s">
        <v>251</v>
      </c>
      <c r="J58" s="5" t="s">
        <v>252</v>
      </c>
      <c r="K58" s="1" t="s">
        <v>241</v>
      </c>
      <c r="L58" s="1" t="s">
        <v>8</v>
      </c>
      <c r="M58" s="4">
        <v>0</v>
      </c>
      <c r="N58" s="5"/>
      <c r="O58" s="1" t="s">
        <v>31</v>
      </c>
    </row>
    <row r="59" spans="1:15" ht="27.6" x14ac:dyDescent="0.3">
      <c r="A59" s="1">
        <v>4.5</v>
      </c>
      <c r="B59" s="1" t="s">
        <v>235</v>
      </c>
      <c r="C59" s="5" t="s">
        <v>253</v>
      </c>
      <c r="D59" s="5" t="s">
        <v>254</v>
      </c>
      <c r="E59" s="2">
        <v>46419</v>
      </c>
      <c r="F59" s="2">
        <v>46430</v>
      </c>
      <c r="G59" s="3">
        <f t="shared" si="0"/>
        <v>10</v>
      </c>
      <c r="H59" s="1" t="s">
        <v>255</v>
      </c>
      <c r="I59" s="1">
        <v>4.3</v>
      </c>
      <c r="J59" s="5" t="s">
        <v>256</v>
      </c>
      <c r="K59" s="1" t="s">
        <v>241</v>
      </c>
      <c r="L59" s="1" t="s">
        <v>8</v>
      </c>
      <c r="M59" s="4">
        <v>0</v>
      </c>
      <c r="N59" s="5"/>
      <c r="O59" s="1" t="s">
        <v>31</v>
      </c>
    </row>
    <row r="60" spans="1:15" ht="27.6" x14ac:dyDescent="0.3">
      <c r="A60" s="1">
        <v>4.5999999999999996</v>
      </c>
      <c r="B60" s="1" t="s">
        <v>235</v>
      </c>
      <c r="C60" s="5" t="s">
        <v>257</v>
      </c>
      <c r="D60" s="5" t="s">
        <v>258</v>
      </c>
      <c r="E60" s="2">
        <v>46419</v>
      </c>
      <c r="F60" s="2">
        <v>46430</v>
      </c>
      <c r="G60" s="3">
        <f t="shared" si="0"/>
        <v>10</v>
      </c>
      <c r="H60" s="1" t="s">
        <v>118</v>
      </c>
      <c r="I60" s="1">
        <v>4.3</v>
      </c>
      <c r="J60" s="5" t="s">
        <v>259</v>
      </c>
      <c r="K60" s="1" t="s">
        <v>241</v>
      </c>
      <c r="L60" s="1" t="s">
        <v>8</v>
      </c>
      <c r="M60" s="4">
        <v>0</v>
      </c>
      <c r="N60" s="5"/>
      <c r="O60" s="1" t="s">
        <v>31</v>
      </c>
    </row>
    <row r="61" spans="1:15" ht="27.6" x14ac:dyDescent="0.3">
      <c r="A61" s="1">
        <v>4.7</v>
      </c>
      <c r="B61" s="1" t="s">
        <v>235</v>
      </c>
      <c r="C61" s="5" t="s">
        <v>260</v>
      </c>
      <c r="D61" s="5" t="s">
        <v>261</v>
      </c>
      <c r="E61" s="2">
        <v>46419</v>
      </c>
      <c r="F61" s="2">
        <v>46430</v>
      </c>
      <c r="G61" s="3">
        <f t="shared" si="0"/>
        <v>10</v>
      </c>
      <c r="H61" s="1" t="s">
        <v>11</v>
      </c>
      <c r="I61" s="1" t="s">
        <v>262</v>
      </c>
      <c r="J61" s="5" t="s">
        <v>263</v>
      </c>
      <c r="K61" s="1" t="s">
        <v>241</v>
      </c>
      <c r="L61" s="1" t="s">
        <v>8</v>
      </c>
      <c r="M61" s="4">
        <v>0</v>
      </c>
      <c r="N61" s="5"/>
      <c r="O61" s="1" t="s">
        <v>31</v>
      </c>
    </row>
    <row r="62" spans="1:15" ht="27.6" x14ac:dyDescent="0.3">
      <c r="A62" s="1">
        <v>4.8</v>
      </c>
      <c r="B62" s="1" t="s">
        <v>235</v>
      </c>
      <c r="C62" s="5" t="s">
        <v>264</v>
      </c>
      <c r="D62" s="5" t="s">
        <v>265</v>
      </c>
      <c r="E62" s="2">
        <v>46419</v>
      </c>
      <c r="F62" s="2">
        <v>46437</v>
      </c>
      <c r="G62" s="3">
        <f t="shared" si="0"/>
        <v>15</v>
      </c>
      <c r="H62" s="1" t="s">
        <v>266</v>
      </c>
      <c r="I62" s="1" t="s">
        <v>267</v>
      </c>
      <c r="J62" s="5" t="s">
        <v>268</v>
      </c>
      <c r="K62" s="1" t="s">
        <v>241</v>
      </c>
      <c r="L62" s="1" t="s">
        <v>8</v>
      </c>
      <c r="M62" s="4">
        <v>0</v>
      </c>
      <c r="N62" s="5"/>
      <c r="O62" s="1" t="s">
        <v>31</v>
      </c>
    </row>
    <row r="63" spans="1:15" ht="27.6" x14ac:dyDescent="0.3">
      <c r="A63" s="1">
        <v>4.9000000000000004</v>
      </c>
      <c r="B63" s="1" t="s">
        <v>235</v>
      </c>
      <c r="C63" s="5" t="s">
        <v>269</v>
      </c>
      <c r="D63" s="5" t="s">
        <v>270</v>
      </c>
      <c r="E63" s="2">
        <v>46405</v>
      </c>
      <c r="F63" s="2">
        <v>46423</v>
      </c>
      <c r="G63" s="3">
        <f t="shared" si="0"/>
        <v>15</v>
      </c>
      <c r="H63" s="1" t="s">
        <v>271</v>
      </c>
      <c r="I63" s="1" t="s">
        <v>272</v>
      </c>
      <c r="J63" s="5" t="s">
        <v>273</v>
      </c>
      <c r="K63" s="1" t="s">
        <v>241</v>
      </c>
      <c r="L63" s="1" t="s">
        <v>8</v>
      </c>
      <c r="M63" s="4">
        <v>0</v>
      </c>
      <c r="N63" s="5"/>
      <c r="O63" s="1" t="s">
        <v>31</v>
      </c>
    </row>
    <row r="64" spans="1:15" ht="27.6" x14ac:dyDescent="0.3">
      <c r="A64" s="1">
        <v>4.0999999999999996</v>
      </c>
      <c r="B64" s="1" t="s">
        <v>235</v>
      </c>
      <c r="C64" s="5" t="s">
        <v>274</v>
      </c>
      <c r="D64" s="5" t="s">
        <v>275</v>
      </c>
      <c r="E64" s="2">
        <v>46426</v>
      </c>
      <c r="F64" s="2">
        <v>46437</v>
      </c>
      <c r="G64" s="3">
        <f t="shared" si="0"/>
        <v>10</v>
      </c>
      <c r="H64" s="1" t="s">
        <v>276</v>
      </c>
      <c r="I64" s="1" t="s">
        <v>277</v>
      </c>
      <c r="J64" s="5" t="s">
        <v>278</v>
      </c>
      <c r="K64" s="1" t="s">
        <v>241</v>
      </c>
      <c r="L64" s="1" t="s">
        <v>8</v>
      </c>
      <c r="M64" s="4">
        <v>0</v>
      </c>
      <c r="N64" s="5"/>
      <c r="O64" s="1" t="s">
        <v>31</v>
      </c>
    </row>
    <row r="65" spans="1:15" ht="27.6" x14ac:dyDescent="0.3">
      <c r="A65" s="1">
        <v>4.1100000000000003</v>
      </c>
      <c r="B65" s="1" t="s">
        <v>235</v>
      </c>
      <c r="C65" s="5" t="s">
        <v>279</v>
      </c>
      <c r="D65" s="5" t="s">
        <v>280</v>
      </c>
      <c r="E65" s="2">
        <v>46426</v>
      </c>
      <c r="F65" s="2">
        <v>46437</v>
      </c>
      <c r="G65" s="3">
        <f t="shared" si="0"/>
        <v>10</v>
      </c>
      <c r="H65" s="1" t="s">
        <v>281</v>
      </c>
      <c r="I65" s="1">
        <v>4.0999999999999996</v>
      </c>
      <c r="J65" s="5" t="s">
        <v>282</v>
      </c>
      <c r="K65" s="1" t="s">
        <v>241</v>
      </c>
      <c r="L65" s="1" t="s">
        <v>8</v>
      </c>
      <c r="M65" s="4">
        <v>0</v>
      </c>
      <c r="N65" s="5"/>
      <c r="O65" s="1" t="s">
        <v>31</v>
      </c>
    </row>
    <row r="66" spans="1:15" ht="27.6" x14ac:dyDescent="0.3">
      <c r="A66" s="1">
        <v>4.12</v>
      </c>
      <c r="B66" s="1" t="s">
        <v>235</v>
      </c>
      <c r="C66" s="5" t="s">
        <v>283</v>
      </c>
      <c r="D66" s="5" t="s">
        <v>284</v>
      </c>
      <c r="E66" s="2">
        <v>46440</v>
      </c>
      <c r="F66" s="2">
        <v>46451</v>
      </c>
      <c r="G66" s="3">
        <f t="shared" si="0"/>
        <v>10</v>
      </c>
      <c r="H66" s="1" t="s">
        <v>285</v>
      </c>
      <c r="I66" s="1" t="s">
        <v>286</v>
      </c>
      <c r="J66" s="5" t="s">
        <v>287</v>
      </c>
      <c r="K66" s="1" t="s">
        <v>241</v>
      </c>
      <c r="L66" s="1" t="s">
        <v>8</v>
      </c>
      <c r="M66" s="4">
        <v>0</v>
      </c>
      <c r="N66" s="5"/>
      <c r="O66" s="1" t="s">
        <v>31</v>
      </c>
    </row>
    <row r="67" spans="1:15" ht="27.6" x14ac:dyDescent="0.3">
      <c r="A67" s="1">
        <v>4.13</v>
      </c>
      <c r="B67" s="1" t="s">
        <v>235</v>
      </c>
      <c r="C67" s="5" t="s">
        <v>288</v>
      </c>
      <c r="D67" s="5" t="s">
        <v>289</v>
      </c>
      <c r="E67" s="2">
        <v>46454</v>
      </c>
      <c r="F67" s="2">
        <v>46454</v>
      </c>
      <c r="G67" s="3">
        <f t="shared" ref="G67:G130" si="1">NETWORKDAYS(E67,F67)</f>
        <v>1</v>
      </c>
      <c r="H67" s="1" t="s">
        <v>290</v>
      </c>
      <c r="I67" s="1" t="s">
        <v>291</v>
      </c>
      <c r="J67" s="5"/>
      <c r="K67" s="1" t="s">
        <v>241</v>
      </c>
      <c r="L67" s="1" t="s">
        <v>8</v>
      </c>
      <c r="M67" s="4">
        <v>0</v>
      </c>
      <c r="N67" s="5"/>
      <c r="O67" s="1" t="s">
        <v>78</v>
      </c>
    </row>
    <row r="68" spans="1:15" ht="27.6" x14ac:dyDescent="0.3">
      <c r="A68" s="1">
        <v>5.0999999999999996</v>
      </c>
      <c r="B68" s="1" t="s">
        <v>292</v>
      </c>
      <c r="C68" s="5" t="s">
        <v>293</v>
      </c>
      <c r="D68" s="5" t="s">
        <v>294</v>
      </c>
      <c r="E68" s="2">
        <v>46342</v>
      </c>
      <c r="F68" s="2">
        <v>46360</v>
      </c>
      <c r="G68" s="3">
        <f t="shared" si="1"/>
        <v>15</v>
      </c>
      <c r="H68" s="1" t="s">
        <v>66</v>
      </c>
      <c r="I68" s="1">
        <v>0.11</v>
      </c>
      <c r="J68" s="5" t="s">
        <v>295</v>
      </c>
      <c r="K68" s="1" t="s">
        <v>296</v>
      </c>
      <c r="L68" s="1" t="s">
        <v>8</v>
      </c>
      <c r="M68" s="4">
        <v>0</v>
      </c>
      <c r="N68" s="5"/>
      <c r="O68" s="1" t="s">
        <v>31</v>
      </c>
    </row>
    <row r="69" spans="1:15" ht="27.6" x14ac:dyDescent="0.3">
      <c r="A69" s="1">
        <v>5.2</v>
      </c>
      <c r="B69" s="1" t="s">
        <v>292</v>
      </c>
      <c r="C69" s="5" t="s">
        <v>297</v>
      </c>
      <c r="D69" s="5" t="s">
        <v>298</v>
      </c>
      <c r="E69" s="2">
        <v>46356</v>
      </c>
      <c r="F69" s="2">
        <v>46367</v>
      </c>
      <c r="G69" s="3">
        <f t="shared" si="1"/>
        <v>10</v>
      </c>
      <c r="H69" s="1" t="s">
        <v>299</v>
      </c>
      <c r="I69" s="1" t="s">
        <v>300</v>
      </c>
      <c r="J69" s="5" t="s">
        <v>301</v>
      </c>
      <c r="K69" s="1" t="s">
        <v>296</v>
      </c>
      <c r="L69" s="1" t="s">
        <v>8</v>
      </c>
      <c r="M69" s="4">
        <v>0</v>
      </c>
      <c r="N69" s="5"/>
      <c r="O69" s="1" t="s">
        <v>31</v>
      </c>
    </row>
    <row r="70" spans="1:15" ht="27.6" x14ac:dyDescent="0.3">
      <c r="A70" s="1">
        <v>5.3</v>
      </c>
      <c r="B70" s="1" t="s">
        <v>292</v>
      </c>
      <c r="C70" s="5" t="s">
        <v>302</v>
      </c>
      <c r="D70" s="5" t="s">
        <v>303</v>
      </c>
      <c r="E70" s="2">
        <v>46363</v>
      </c>
      <c r="F70" s="2">
        <v>46380</v>
      </c>
      <c r="G70" s="3">
        <f t="shared" si="1"/>
        <v>14</v>
      </c>
      <c r="H70" s="1" t="s">
        <v>304</v>
      </c>
      <c r="I70" s="1" t="s">
        <v>305</v>
      </c>
      <c r="J70" s="5" t="s">
        <v>306</v>
      </c>
      <c r="K70" s="1" t="s">
        <v>296</v>
      </c>
      <c r="L70" s="1" t="s">
        <v>8</v>
      </c>
      <c r="M70" s="4">
        <v>0</v>
      </c>
      <c r="N70" s="5"/>
      <c r="O70" s="1" t="s">
        <v>31</v>
      </c>
    </row>
    <row r="71" spans="1:15" ht="27.6" x14ac:dyDescent="0.3">
      <c r="A71" s="1">
        <v>5.4</v>
      </c>
      <c r="B71" s="1" t="s">
        <v>292</v>
      </c>
      <c r="C71" s="5" t="s">
        <v>307</v>
      </c>
      <c r="D71" s="5" t="s">
        <v>308</v>
      </c>
      <c r="E71" s="2">
        <v>46370</v>
      </c>
      <c r="F71" s="2">
        <v>46395</v>
      </c>
      <c r="G71" s="3">
        <f t="shared" si="1"/>
        <v>20</v>
      </c>
      <c r="H71" s="1" t="s">
        <v>309</v>
      </c>
      <c r="I71" s="1" t="s">
        <v>310</v>
      </c>
      <c r="J71" s="5" t="s">
        <v>311</v>
      </c>
      <c r="K71" s="1" t="s">
        <v>296</v>
      </c>
      <c r="L71" s="1" t="s">
        <v>8</v>
      </c>
      <c r="M71" s="4">
        <v>0</v>
      </c>
      <c r="N71" s="5"/>
      <c r="O71" s="1" t="s">
        <v>31</v>
      </c>
    </row>
    <row r="72" spans="1:15" ht="27.6" x14ac:dyDescent="0.3">
      <c r="A72" s="1">
        <v>5.5</v>
      </c>
      <c r="B72" s="1" t="s">
        <v>292</v>
      </c>
      <c r="C72" s="5" t="s">
        <v>312</v>
      </c>
      <c r="D72" s="5" t="s">
        <v>313</v>
      </c>
      <c r="E72" s="2">
        <v>46377</v>
      </c>
      <c r="F72" s="2">
        <v>46402</v>
      </c>
      <c r="G72" s="3">
        <f t="shared" si="1"/>
        <v>20</v>
      </c>
      <c r="H72" s="1" t="s">
        <v>218</v>
      </c>
      <c r="I72" s="1" t="s">
        <v>314</v>
      </c>
      <c r="J72" s="5" t="s">
        <v>315</v>
      </c>
      <c r="K72" s="1" t="s">
        <v>296</v>
      </c>
      <c r="L72" s="1" t="s">
        <v>8</v>
      </c>
      <c r="M72" s="4">
        <v>0</v>
      </c>
      <c r="N72" s="5"/>
      <c r="O72" s="1" t="s">
        <v>31</v>
      </c>
    </row>
    <row r="73" spans="1:15" ht="27.6" x14ac:dyDescent="0.3">
      <c r="A73" s="1">
        <v>5.6</v>
      </c>
      <c r="B73" s="1" t="s">
        <v>292</v>
      </c>
      <c r="C73" s="5" t="s">
        <v>316</v>
      </c>
      <c r="D73" s="5" t="s">
        <v>317</v>
      </c>
      <c r="E73" s="2">
        <v>46391</v>
      </c>
      <c r="F73" s="2">
        <v>46409</v>
      </c>
      <c r="G73" s="3">
        <f t="shared" si="1"/>
        <v>15</v>
      </c>
      <c r="H73" s="1" t="s">
        <v>11</v>
      </c>
      <c r="I73" s="1" t="s">
        <v>318</v>
      </c>
      <c r="J73" s="5" t="s">
        <v>319</v>
      </c>
      <c r="K73" s="1" t="s">
        <v>296</v>
      </c>
      <c r="L73" s="1" t="s">
        <v>8</v>
      </c>
      <c r="M73" s="4">
        <v>0</v>
      </c>
      <c r="N73" s="5"/>
      <c r="O73" s="1" t="s">
        <v>31</v>
      </c>
    </row>
    <row r="74" spans="1:15" ht="27.6" x14ac:dyDescent="0.3">
      <c r="A74" s="1">
        <v>5.7</v>
      </c>
      <c r="B74" s="1" t="s">
        <v>292</v>
      </c>
      <c r="C74" s="5" t="s">
        <v>320</v>
      </c>
      <c r="D74" s="5" t="s">
        <v>321</v>
      </c>
      <c r="E74" s="2">
        <v>46405</v>
      </c>
      <c r="F74" s="2">
        <v>46423</v>
      </c>
      <c r="G74" s="3">
        <f t="shared" si="1"/>
        <v>15</v>
      </c>
      <c r="H74" s="1" t="s">
        <v>322</v>
      </c>
      <c r="I74" s="1">
        <v>5.6</v>
      </c>
      <c r="J74" s="5" t="s">
        <v>323</v>
      </c>
      <c r="K74" s="1" t="s">
        <v>296</v>
      </c>
      <c r="L74" s="1" t="s">
        <v>8</v>
      </c>
      <c r="M74" s="4">
        <v>0</v>
      </c>
      <c r="N74" s="5"/>
      <c r="O74" s="1" t="s">
        <v>31</v>
      </c>
    </row>
    <row r="75" spans="1:15" ht="27.6" x14ac:dyDescent="0.3">
      <c r="A75" s="1">
        <v>5.8</v>
      </c>
      <c r="B75" s="1" t="s">
        <v>292</v>
      </c>
      <c r="C75" s="5" t="s">
        <v>324</v>
      </c>
      <c r="D75" s="5" t="s">
        <v>325</v>
      </c>
      <c r="E75" s="2">
        <v>46405</v>
      </c>
      <c r="F75" s="2">
        <v>46423</v>
      </c>
      <c r="G75" s="3">
        <f t="shared" si="1"/>
        <v>15</v>
      </c>
      <c r="H75" s="1" t="s">
        <v>11</v>
      </c>
      <c r="I75" s="1">
        <v>5.6</v>
      </c>
      <c r="J75" s="5" t="s">
        <v>326</v>
      </c>
      <c r="K75" s="1" t="s">
        <v>296</v>
      </c>
      <c r="L75" s="1" t="s">
        <v>8</v>
      </c>
      <c r="M75" s="4">
        <v>0</v>
      </c>
      <c r="N75" s="5"/>
      <c r="O75" s="1" t="s">
        <v>31</v>
      </c>
    </row>
    <row r="76" spans="1:15" ht="27.6" x14ac:dyDescent="0.3">
      <c r="A76" s="1">
        <v>5.9</v>
      </c>
      <c r="B76" s="1" t="s">
        <v>292</v>
      </c>
      <c r="C76" s="5" t="s">
        <v>327</v>
      </c>
      <c r="D76" s="5" t="s">
        <v>328</v>
      </c>
      <c r="E76" s="2">
        <v>46412</v>
      </c>
      <c r="F76" s="2">
        <v>46430</v>
      </c>
      <c r="G76" s="3">
        <f t="shared" si="1"/>
        <v>15</v>
      </c>
      <c r="H76" s="1" t="s">
        <v>304</v>
      </c>
      <c r="I76" s="1" t="s">
        <v>329</v>
      </c>
      <c r="J76" s="5" t="s">
        <v>330</v>
      </c>
      <c r="K76" s="1" t="s">
        <v>296</v>
      </c>
      <c r="L76" s="1" t="s">
        <v>8</v>
      </c>
      <c r="M76" s="4">
        <v>0</v>
      </c>
      <c r="N76" s="5"/>
      <c r="O76" s="1" t="s">
        <v>31</v>
      </c>
    </row>
    <row r="77" spans="1:15" ht="27.6" x14ac:dyDescent="0.3">
      <c r="A77" s="1">
        <v>5.0999999999999996</v>
      </c>
      <c r="B77" s="1" t="s">
        <v>292</v>
      </c>
      <c r="C77" s="5" t="s">
        <v>331</v>
      </c>
      <c r="D77" s="5" t="s">
        <v>332</v>
      </c>
      <c r="E77" s="2">
        <v>46412</v>
      </c>
      <c r="F77" s="2">
        <v>46430</v>
      </c>
      <c r="G77" s="3">
        <f t="shared" si="1"/>
        <v>15</v>
      </c>
      <c r="H77" s="1" t="s">
        <v>11</v>
      </c>
      <c r="I77" s="1" t="s">
        <v>329</v>
      </c>
      <c r="J77" s="5" t="s">
        <v>333</v>
      </c>
      <c r="K77" s="1" t="s">
        <v>296</v>
      </c>
      <c r="L77" s="1" t="s">
        <v>8</v>
      </c>
      <c r="M77" s="4">
        <v>0</v>
      </c>
      <c r="N77" s="5"/>
      <c r="O77" s="1" t="s">
        <v>31</v>
      </c>
    </row>
    <row r="78" spans="1:15" ht="27.6" x14ac:dyDescent="0.3">
      <c r="A78" s="1">
        <v>5.1100000000000003</v>
      </c>
      <c r="B78" s="1" t="s">
        <v>292</v>
      </c>
      <c r="C78" s="5" t="s">
        <v>334</v>
      </c>
      <c r="D78" s="5" t="s">
        <v>335</v>
      </c>
      <c r="E78" s="2">
        <v>46419</v>
      </c>
      <c r="F78" s="2">
        <v>46437</v>
      </c>
      <c r="G78" s="3">
        <f t="shared" si="1"/>
        <v>15</v>
      </c>
      <c r="H78" s="1" t="s">
        <v>336</v>
      </c>
      <c r="I78" s="1">
        <v>5.0999999999999996</v>
      </c>
      <c r="J78" s="5" t="s">
        <v>337</v>
      </c>
      <c r="K78" s="1" t="s">
        <v>296</v>
      </c>
      <c r="L78" s="1" t="s">
        <v>8</v>
      </c>
      <c r="M78" s="4">
        <v>0</v>
      </c>
      <c r="N78" s="5"/>
      <c r="O78" s="1" t="s">
        <v>31</v>
      </c>
    </row>
    <row r="79" spans="1:15" ht="27.6" x14ac:dyDescent="0.3">
      <c r="A79" s="1">
        <v>5.12</v>
      </c>
      <c r="B79" s="1" t="s">
        <v>292</v>
      </c>
      <c r="C79" s="5" t="s">
        <v>338</v>
      </c>
      <c r="D79" s="5" t="s">
        <v>339</v>
      </c>
      <c r="E79" s="2">
        <v>46426</v>
      </c>
      <c r="F79" s="2">
        <v>46444</v>
      </c>
      <c r="G79" s="3">
        <f t="shared" si="1"/>
        <v>15</v>
      </c>
      <c r="H79" s="1" t="s">
        <v>340</v>
      </c>
      <c r="I79" s="1" t="s">
        <v>341</v>
      </c>
      <c r="J79" s="5" t="s">
        <v>342</v>
      </c>
      <c r="K79" s="1" t="s">
        <v>296</v>
      </c>
      <c r="L79" s="1" t="s">
        <v>8</v>
      </c>
      <c r="M79" s="4">
        <v>0</v>
      </c>
      <c r="N79" s="5"/>
      <c r="O79" s="1" t="s">
        <v>31</v>
      </c>
    </row>
    <row r="80" spans="1:15" ht="27.6" x14ac:dyDescent="0.3">
      <c r="A80" s="1">
        <v>5.13</v>
      </c>
      <c r="B80" s="1" t="s">
        <v>292</v>
      </c>
      <c r="C80" s="5" t="s">
        <v>343</v>
      </c>
      <c r="D80" s="5" t="s">
        <v>344</v>
      </c>
      <c r="E80" s="2">
        <v>46419</v>
      </c>
      <c r="F80" s="2">
        <v>46444</v>
      </c>
      <c r="G80" s="3">
        <f t="shared" si="1"/>
        <v>20</v>
      </c>
      <c r="H80" s="1" t="s">
        <v>12</v>
      </c>
      <c r="I80" s="1" t="s">
        <v>345</v>
      </c>
      <c r="J80" s="5" t="s">
        <v>346</v>
      </c>
      <c r="K80" s="1" t="s">
        <v>296</v>
      </c>
      <c r="L80" s="1" t="s">
        <v>8</v>
      </c>
      <c r="M80" s="4">
        <v>0</v>
      </c>
      <c r="N80" s="5"/>
      <c r="O80" s="1" t="s">
        <v>31</v>
      </c>
    </row>
    <row r="81" spans="1:15" ht="27.6" x14ac:dyDescent="0.3">
      <c r="A81" s="1">
        <v>5.14</v>
      </c>
      <c r="B81" s="1" t="s">
        <v>292</v>
      </c>
      <c r="C81" s="5" t="s">
        <v>347</v>
      </c>
      <c r="D81" s="5" t="s">
        <v>348</v>
      </c>
      <c r="E81" s="2">
        <v>46433</v>
      </c>
      <c r="F81" s="2">
        <v>46444</v>
      </c>
      <c r="G81" s="3">
        <f t="shared" si="1"/>
        <v>10</v>
      </c>
      <c r="H81" s="1" t="s">
        <v>11</v>
      </c>
      <c r="I81" s="1">
        <v>5.0999999999999996</v>
      </c>
      <c r="J81" s="5" t="s">
        <v>349</v>
      </c>
      <c r="K81" s="1" t="s">
        <v>296</v>
      </c>
      <c r="L81" s="1" t="s">
        <v>8</v>
      </c>
      <c r="M81" s="4">
        <v>0</v>
      </c>
      <c r="N81" s="5"/>
      <c r="O81" s="1" t="s">
        <v>31</v>
      </c>
    </row>
    <row r="82" spans="1:15" ht="27.6" x14ac:dyDescent="0.3">
      <c r="A82" s="1">
        <v>5.15</v>
      </c>
      <c r="B82" s="1" t="s">
        <v>292</v>
      </c>
      <c r="C82" s="5" t="s">
        <v>350</v>
      </c>
      <c r="D82" s="5" t="s">
        <v>351</v>
      </c>
      <c r="E82" s="2">
        <v>46433</v>
      </c>
      <c r="F82" s="2">
        <v>46451</v>
      </c>
      <c r="G82" s="3">
        <f t="shared" si="1"/>
        <v>15</v>
      </c>
      <c r="H82" s="1" t="s">
        <v>352</v>
      </c>
      <c r="I82" s="1" t="s">
        <v>353</v>
      </c>
      <c r="J82" s="5" t="s">
        <v>354</v>
      </c>
      <c r="K82" s="1" t="s">
        <v>296</v>
      </c>
      <c r="L82" s="1" t="s">
        <v>8</v>
      </c>
      <c r="M82" s="4">
        <v>0</v>
      </c>
      <c r="N82" s="5"/>
      <c r="O82" s="1" t="s">
        <v>31</v>
      </c>
    </row>
    <row r="83" spans="1:15" ht="27.6" x14ac:dyDescent="0.3">
      <c r="A83" s="1">
        <v>5.16</v>
      </c>
      <c r="B83" s="1" t="s">
        <v>292</v>
      </c>
      <c r="C83" s="5" t="s">
        <v>355</v>
      </c>
      <c r="D83" s="5" t="s">
        <v>356</v>
      </c>
      <c r="E83" s="2">
        <v>46447</v>
      </c>
      <c r="F83" s="2">
        <v>46465</v>
      </c>
      <c r="G83" s="3">
        <f t="shared" si="1"/>
        <v>15</v>
      </c>
      <c r="H83" s="1" t="s">
        <v>357</v>
      </c>
      <c r="I83" s="1" t="s">
        <v>358</v>
      </c>
      <c r="J83" s="5" t="s">
        <v>359</v>
      </c>
      <c r="K83" s="1" t="s">
        <v>296</v>
      </c>
      <c r="L83" s="1" t="s">
        <v>8</v>
      </c>
      <c r="M83" s="4">
        <v>0</v>
      </c>
      <c r="N83" s="5"/>
      <c r="O83" s="1" t="s">
        <v>31</v>
      </c>
    </row>
    <row r="84" spans="1:15" ht="27.6" x14ac:dyDescent="0.3">
      <c r="A84" s="1">
        <v>5.17</v>
      </c>
      <c r="B84" s="1" t="s">
        <v>292</v>
      </c>
      <c r="C84" s="5" t="s">
        <v>360</v>
      </c>
      <c r="D84" s="5" t="s">
        <v>361</v>
      </c>
      <c r="E84" s="2">
        <v>46468</v>
      </c>
      <c r="F84" s="2">
        <v>46468</v>
      </c>
      <c r="G84" s="3">
        <f t="shared" si="1"/>
        <v>1</v>
      </c>
      <c r="H84" s="1" t="s">
        <v>362</v>
      </c>
      <c r="I84" s="1">
        <v>5.16</v>
      </c>
      <c r="J84" s="5"/>
      <c r="K84" s="1" t="s">
        <v>296</v>
      </c>
      <c r="L84" s="1" t="s">
        <v>8</v>
      </c>
      <c r="M84" s="4">
        <v>0</v>
      </c>
      <c r="N84" s="5"/>
      <c r="O84" s="1" t="s">
        <v>78</v>
      </c>
    </row>
    <row r="85" spans="1:15" ht="27.6" x14ac:dyDescent="0.3">
      <c r="A85" s="1">
        <v>6.1</v>
      </c>
      <c r="B85" s="1" t="s">
        <v>363</v>
      </c>
      <c r="C85" s="5" t="s">
        <v>364</v>
      </c>
      <c r="D85" s="5" t="s">
        <v>365</v>
      </c>
      <c r="E85" s="2">
        <v>46391</v>
      </c>
      <c r="F85" s="2">
        <v>46402</v>
      </c>
      <c r="G85" s="3">
        <f t="shared" si="1"/>
        <v>10</v>
      </c>
      <c r="H85" s="1" t="s">
        <v>42</v>
      </c>
      <c r="I85" s="1" t="s">
        <v>366</v>
      </c>
      <c r="J85" s="5" t="s">
        <v>367</v>
      </c>
      <c r="K85" s="1" t="s">
        <v>368</v>
      </c>
      <c r="L85" s="1" t="s">
        <v>8</v>
      </c>
      <c r="M85" s="4">
        <v>0</v>
      </c>
      <c r="N85" s="5"/>
      <c r="O85" s="1" t="s">
        <v>31</v>
      </c>
    </row>
    <row r="86" spans="1:15" ht="27.6" x14ac:dyDescent="0.3">
      <c r="A86" s="1">
        <v>6.2</v>
      </c>
      <c r="B86" s="1" t="s">
        <v>363</v>
      </c>
      <c r="C86" s="5" t="s">
        <v>369</v>
      </c>
      <c r="D86" s="5" t="s">
        <v>370</v>
      </c>
      <c r="E86" s="2">
        <v>46398</v>
      </c>
      <c r="F86" s="2">
        <v>46409</v>
      </c>
      <c r="G86" s="3">
        <f t="shared" si="1"/>
        <v>10</v>
      </c>
      <c r="H86" s="1" t="s">
        <v>371</v>
      </c>
      <c r="I86" s="1" t="s">
        <v>372</v>
      </c>
      <c r="J86" s="5" t="s">
        <v>373</v>
      </c>
      <c r="K86" s="1" t="s">
        <v>368</v>
      </c>
      <c r="L86" s="1" t="s">
        <v>8</v>
      </c>
      <c r="M86" s="4">
        <v>0</v>
      </c>
      <c r="N86" s="5"/>
      <c r="O86" s="1" t="s">
        <v>31</v>
      </c>
    </row>
    <row r="87" spans="1:15" ht="27.6" x14ac:dyDescent="0.3">
      <c r="A87" s="1">
        <v>6.3</v>
      </c>
      <c r="B87" s="1" t="s">
        <v>363</v>
      </c>
      <c r="C87" s="5" t="s">
        <v>374</v>
      </c>
      <c r="D87" s="5" t="s">
        <v>375</v>
      </c>
      <c r="E87" s="2">
        <v>46405</v>
      </c>
      <c r="F87" s="2">
        <v>46423</v>
      </c>
      <c r="G87" s="3">
        <f t="shared" si="1"/>
        <v>15</v>
      </c>
      <c r="H87" s="1" t="s">
        <v>304</v>
      </c>
      <c r="I87" s="1" t="s">
        <v>376</v>
      </c>
      <c r="J87" s="5" t="s">
        <v>377</v>
      </c>
      <c r="K87" s="1" t="s">
        <v>368</v>
      </c>
      <c r="L87" s="1" t="s">
        <v>8</v>
      </c>
      <c r="M87" s="4">
        <v>0</v>
      </c>
      <c r="N87" s="5"/>
      <c r="O87" s="1" t="s">
        <v>31</v>
      </c>
    </row>
    <row r="88" spans="1:15" ht="27.6" x14ac:dyDescent="0.3">
      <c r="A88" s="1">
        <v>6.4</v>
      </c>
      <c r="B88" s="1" t="s">
        <v>363</v>
      </c>
      <c r="C88" s="5" t="s">
        <v>378</v>
      </c>
      <c r="D88" s="5" t="s">
        <v>379</v>
      </c>
      <c r="E88" s="2">
        <v>46412</v>
      </c>
      <c r="F88" s="2">
        <v>46430</v>
      </c>
      <c r="G88" s="3">
        <f t="shared" si="1"/>
        <v>15</v>
      </c>
      <c r="H88" s="1" t="s">
        <v>304</v>
      </c>
      <c r="I88" s="1" t="s">
        <v>380</v>
      </c>
      <c r="J88" s="5" t="s">
        <v>381</v>
      </c>
      <c r="K88" s="1" t="s">
        <v>368</v>
      </c>
      <c r="L88" s="1" t="s">
        <v>8</v>
      </c>
      <c r="M88" s="4">
        <v>0</v>
      </c>
      <c r="N88" s="5"/>
      <c r="O88" s="1" t="s">
        <v>31</v>
      </c>
    </row>
    <row r="89" spans="1:15" ht="27.6" x14ac:dyDescent="0.3">
      <c r="A89" s="1">
        <v>6.5</v>
      </c>
      <c r="B89" s="1" t="s">
        <v>363</v>
      </c>
      <c r="C89" s="5" t="s">
        <v>382</v>
      </c>
      <c r="D89" s="5" t="s">
        <v>383</v>
      </c>
      <c r="E89" s="2">
        <v>46419</v>
      </c>
      <c r="F89" s="2">
        <v>46437</v>
      </c>
      <c r="G89" s="3">
        <f t="shared" si="1"/>
        <v>15</v>
      </c>
      <c r="H89" s="1" t="s">
        <v>304</v>
      </c>
      <c r="I89" s="1" t="s">
        <v>384</v>
      </c>
      <c r="J89" s="5" t="s">
        <v>385</v>
      </c>
      <c r="K89" s="1" t="s">
        <v>368</v>
      </c>
      <c r="L89" s="1" t="s">
        <v>8</v>
      </c>
      <c r="M89" s="4">
        <v>0</v>
      </c>
      <c r="N89" s="5"/>
      <c r="O89" s="1" t="s">
        <v>31</v>
      </c>
    </row>
    <row r="90" spans="1:15" ht="27.6" x14ac:dyDescent="0.3">
      <c r="A90" s="1">
        <v>6.6</v>
      </c>
      <c r="B90" s="1" t="s">
        <v>363</v>
      </c>
      <c r="C90" s="5" t="s">
        <v>386</v>
      </c>
      <c r="D90" s="5" t="s">
        <v>387</v>
      </c>
      <c r="E90" s="2">
        <v>46419</v>
      </c>
      <c r="F90" s="2">
        <v>46444</v>
      </c>
      <c r="G90" s="3">
        <f t="shared" si="1"/>
        <v>20</v>
      </c>
      <c r="H90" s="1" t="s">
        <v>304</v>
      </c>
      <c r="I90" s="1" t="s">
        <v>388</v>
      </c>
      <c r="J90" s="5" t="s">
        <v>389</v>
      </c>
      <c r="K90" s="1" t="s">
        <v>368</v>
      </c>
      <c r="L90" s="1" t="s">
        <v>8</v>
      </c>
      <c r="M90" s="4">
        <v>0</v>
      </c>
      <c r="N90" s="5"/>
      <c r="O90" s="1" t="s">
        <v>31</v>
      </c>
    </row>
    <row r="91" spans="1:15" ht="27.6" x14ac:dyDescent="0.3">
      <c r="A91" s="1">
        <v>6.7</v>
      </c>
      <c r="B91" s="1" t="s">
        <v>363</v>
      </c>
      <c r="C91" s="5" t="s">
        <v>390</v>
      </c>
      <c r="D91" s="5" t="s">
        <v>391</v>
      </c>
      <c r="E91" s="2">
        <v>46433</v>
      </c>
      <c r="F91" s="2">
        <v>46451</v>
      </c>
      <c r="G91" s="3">
        <f t="shared" si="1"/>
        <v>15</v>
      </c>
      <c r="H91" s="1" t="s">
        <v>304</v>
      </c>
      <c r="I91" s="1">
        <v>6.6</v>
      </c>
      <c r="J91" s="5" t="s">
        <v>385</v>
      </c>
      <c r="K91" s="1" t="s">
        <v>368</v>
      </c>
      <c r="L91" s="1" t="s">
        <v>8</v>
      </c>
      <c r="M91" s="4">
        <v>0</v>
      </c>
      <c r="N91" s="5"/>
      <c r="O91" s="1" t="s">
        <v>31</v>
      </c>
    </row>
    <row r="92" spans="1:15" ht="27.6" x14ac:dyDescent="0.3">
      <c r="A92" s="1">
        <v>6.8</v>
      </c>
      <c r="B92" s="1" t="s">
        <v>363</v>
      </c>
      <c r="C92" s="5" t="s">
        <v>392</v>
      </c>
      <c r="D92" s="5" t="s">
        <v>393</v>
      </c>
      <c r="E92" s="2">
        <v>46433</v>
      </c>
      <c r="F92" s="2">
        <v>46451</v>
      </c>
      <c r="G92" s="3">
        <f t="shared" si="1"/>
        <v>15</v>
      </c>
      <c r="H92" s="1" t="s">
        <v>304</v>
      </c>
      <c r="I92" s="1">
        <v>6.6</v>
      </c>
      <c r="J92" s="5" t="s">
        <v>385</v>
      </c>
      <c r="K92" s="1" t="s">
        <v>368</v>
      </c>
      <c r="L92" s="1" t="s">
        <v>8</v>
      </c>
      <c r="M92" s="4">
        <v>0</v>
      </c>
      <c r="N92" s="5"/>
      <c r="O92" s="1" t="s">
        <v>31</v>
      </c>
    </row>
    <row r="93" spans="1:15" ht="27.6" x14ac:dyDescent="0.3">
      <c r="A93" s="1">
        <v>6.9</v>
      </c>
      <c r="B93" s="1" t="s">
        <v>363</v>
      </c>
      <c r="C93" s="5" t="s">
        <v>394</v>
      </c>
      <c r="D93" s="5" t="s">
        <v>395</v>
      </c>
      <c r="E93" s="2">
        <v>46440</v>
      </c>
      <c r="F93" s="2">
        <v>46458</v>
      </c>
      <c r="G93" s="3">
        <f t="shared" si="1"/>
        <v>15</v>
      </c>
      <c r="H93" s="1" t="s">
        <v>322</v>
      </c>
      <c r="I93" s="1" t="s">
        <v>396</v>
      </c>
      <c r="J93" s="5" t="s">
        <v>397</v>
      </c>
      <c r="K93" s="1" t="s">
        <v>368</v>
      </c>
      <c r="L93" s="1" t="s">
        <v>8</v>
      </c>
      <c r="M93" s="4">
        <v>0</v>
      </c>
      <c r="N93" s="5"/>
      <c r="O93" s="1" t="s">
        <v>31</v>
      </c>
    </row>
    <row r="94" spans="1:15" ht="27.6" x14ac:dyDescent="0.3">
      <c r="A94" s="1">
        <v>6.1</v>
      </c>
      <c r="B94" s="1" t="s">
        <v>363</v>
      </c>
      <c r="C94" s="5" t="s">
        <v>398</v>
      </c>
      <c r="D94" s="5" t="s">
        <v>399</v>
      </c>
      <c r="E94" s="2">
        <v>46454</v>
      </c>
      <c r="F94" s="2">
        <v>46465</v>
      </c>
      <c r="G94" s="3">
        <f t="shared" si="1"/>
        <v>10</v>
      </c>
      <c r="H94" s="1" t="s">
        <v>11</v>
      </c>
      <c r="I94" s="1" t="s">
        <v>400</v>
      </c>
      <c r="J94" s="5" t="s">
        <v>401</v>
      </c>
      <c r="K94" s="1" t="s">
        <v>368</v>
      </c>
      <c r="L94" s="1" t="s">
        <v>8</v>
      </c>
      <c r="M94" s="4">
        <v>0</v>
      </c>
      <c r="N94" s="5"/>
      <c r="O94" s="1" t="s">
        <v>31</v>
      </c>
    </row>
    <row r="95" spans="1:15" ht="27.6" x14ac:dyDescent="0.3">
      <c r="A95" s="1">
        <v>6.11</v>
      </c>
      <c r="B95" s="1" t="s">
        <v>363</v>
      </c>
      <c r="C95" s="5" t="s">
        <v>402</v>
      </c>
      <c r="D95" s="5" t="s">
        <v>403</v>
      </c>
      <c r="E95" s="2">
        <v>46440</v>
      </c>
      <c r="F95" s="2">
        <v>46458</v>
      </c>
      <c r="G95" s="3">
        <f t="shared" si="1"/>
        <v>15</v>
      </c>
      <c r="H95" s="1" t="s">
        <v>304</v>
      </c>
      <c r="I95" s="1">
        <v>6.4</v>
      </c>
      <c r="J95" s="5" t="s">
        <v>404</v>
      </c>
      <c r="K95" s="1" t="s">
        <v>368</v>
      </c>
      <c r="L95" s="1" t="s">
        <v>8</v>
      </c>
      <c r="M95" s="4">
        <v>0</v>
      </c>
      <c r="N95" s="5"/>
      <c r="O95" s="1" t="s">
        <v>31</v>
      </c>
    </row>
    <row r="96" spans="1:15" ht="27.6" x14ac:dyDescent="0.3">
      <c r="A96" s="1">
        <v>6.12</v>
      </c>
      <c r="B96" s="1" t="s">
        <v>363</v>
      </c>
      <c r="C96" s="5" t="s">
        <v>405</v>
      </c>
      <c r="D96" s="5" t="s">
        <v>406</v>
      </c>
      <c r="E96" s="2">
        <v>46447</v>
      </c>
      <c r="F96" s="2">
        <v>46465</v>
      </c>
      <c r="G96" s="3">
        <f t="shared" si="1"/>
        <v>15</v>
      </c>
      <c r="H96" s="1" t="s">
        <v>218</v>
      </c>
      <c r="I96" s="1" t="s">
        <v>407</v>
      </c>
      <c r="J96" s="5" t="s">
        <v>408</v>
      </c>
      <c r="K96" s="1" t="s">
        <v>368</v>
      </c>
      <c r="L96" s="1" t="s">
        <v>8</v>
      </c>
      <c r="M96" s="4">
        <v>0</v>
      </c>
      <c r="N96" s="5"/>
      <c r="O96" s="1" t="s">
        <v>31</v>
      </c>
    </row>
    <row r="97" spans="1:15" ht="27.6" x14ac:dyDescent="0.3">
      <c r="A97" s="1">
        <v>6.13</v>
      </c>
      <c r="B97" s="1" t="s">
        <v>363</v>
      </c>
      <c r="C97" s="5" t="s">
        <v>409</v>
      </c>
      <c r="D97" s="5" t="s">
        <v>410</v>
      </c>
      <c r="E97" s="2">
        <v>46447</v>
      </c>
      <c r="F97" s="2">
        <v>46465</v>
      </c>
      <c r="G97" s="3">
        <f t="shared" si="1"/>
        <v>15</v>
      </c>
      <c r="H97" s="1" t="s">
        <v>304</v>
      </c>
      <c r="I97" s="1" t="s">
        <v>411</v>
      </c>
      <c r="J97" s="5" t="s">
        <v>412</v>
      </c>
      <c r="K97" s="1" t="s">
        <v>368</v>
      </c>
      <c r="L97" s="1" t="s">
        <v>8</v>
      </c>
      <c r="M97" s="4">
        <v>0</v>
      </c>
      <c r="N97" s="5"/>
      <c r="O97" s="1" t="s">
        <v>31</v>
      </c>
    </row>
    <row r="98" spans="1:15" ht="27.6" x14ac:dyDescent="0.3">
      <c r="A98" s="1">
        <v>6.14</v>
      </c>
      <c r="B98" s="1" t="s">
        <v>363</v>
      </c>
      <c r="C98" s="5" t="s">
        <v>413</v>
      </c>
      <c r="D98" s="5" t="s">
        <v>414</v>
      </c>
      <c r="E98" s="2">
        <v>46454</v>
      </c>
      <c r="F98" s="2">
        <v>46472</v>
      </c>
      <c r="G98" s="3">
        <f t="shared" si="1"/>
        <v>15</v>
      </c>
      <c r="H98" s="1" t="s">
        <v>12</v>
      </c>
      <c r="I98" s="1" t="s">
        <v>415</v>
      </c>
      <c r="J98" s="5" t="s">
        <v>416</v>
      </c>
      <c r="K98" s="1" t="s">
        <v>368</v>
      </c>
      <c r="L98" s="1" t="s">
        <v>8</v>
      </c>
      <c r="M98" s="4">
        <v>0</v>
      </c>
      <c r="N98" s="5"/>
      <c r="O98" s="1" t="s">
        <v>31</v>
      </c>
    </row>
    <row r="99" spans="1:15" ht="27.6" x14ac:dyDescent="0.3">
      <c r="A99" s="1">
        <v>6.15</v>
      </c>
      <c r="B99" s="1" t="s">
        <v>363</v>
      </c>
      <c r="C99" s="5" t="s">
        <v>417</v>
      </c>
      <c r="D99" s="5" t="s">
        <v>418</v>
      </c>
      <c r="E99" s="2">
        <v>46468</v>
      </c>
      <c r="F99" s="2">
        <v>46486</v>
      </c>
      <c r="G99" s="3">
        <f t="shared" si="1"/>
        <v>15</v>
      </c>
      <c r="H99" s="1" t="s">
        <v>419</v>
      </c>
      <c r="I99" s="1">
        <v>6.14</v>
      </c>
      <c r="J99" s="5" t="s">
        <v>420</v>
      </c>
      <c r="K99" s="1" t="s">
        <v>368</v>
      </c>
      <c r="L99" s="1" t="s">
        <v>8</v>
      </c>
      <c r="M99" s="4">
        <v>0</v>
      </c>
      <c r="N99" s="5"/>
      <c r="O99" s="1" t="s">
        <v>31</v>
      </c>
    </row>
    <row r="100" spans="1:15" ht="27.6" x14ac:dyDescent="0.3">
      <c r="A100" s="1">
        <v>6.16</v>
      </c>
      <c r="B100" s="1" t="s">
        <v>363</v>
      </c>
      <c r="C100" s="5" t="s">
        <v>421</v>
      </c>
      <c r="D100" s="5" t="s">
        <v>422</v>
      </c>
      <c r="E100" s="2">
        <v>46468</v>
      </c>
      <c r="F100" s="2">
        <v>46486</v>
      </c>
      <c r="G100" s="3">
        <f t="shared" si="1"/>
        <v>15</v>
      </c>
      <c r="H100" s="1" t="s">
        <v>304</v>
      </c>
      <c r="I100" s="1">
        <v>6.14</v>
      </c>
      <c r="J100" s="5" t="s">
        <v>423</v>
      </c>
      <c r="K100" s="1" t="s">
        <v>368</v>
      </c>
      <c r="L100" s="1" t="s">
        <v>8</v>
      </c>
      <c r="M100" s="4">
        <v>0</v>
      </c>
      <c r="N100" s="5"/>
      <c r="O100" s="1" t="s">
        <v>31</v>
      </c>
    </row>
    <row r="101" spans="1:15" ht="27.6" x14ac:dyDescent="0.3">
      <c r="A101" s="1">
        <v>6.17</v>
      </c>
      <c r="B101" s="1" t="s">
        <v>363</v>
      </c>
      <c r="C101" s="5" t="s">
        <v>424</v>
      </c>
      <c r="D101" s="5" t="s">
        <v>425</v>
      </c>
      <c r="E101" s="2">
        <v>46482</v>
      </c>
      <c r="F101" s="2">
        <v>46500</v>
      </c>
      <c r="G101" s="3">
        <f t="shared" si="1"/>
        <v>15</v>
      </c>
      <c r="H101" s="1" t="s">
        <v>426</v>
      </c>
      <c r="I101" s="1" t="s">
        <v>427</v>
      </c>
      <c r="J101" s="5" t="s">
        <v>428</v>
      </c>
      <c r="K101" s="1" t="s">
        <v>368</v>
      </c>
      <c r="L101" s="1" t="s">
        <v>8</v>
      </c>
      <c r="M101" s="4">
        <v>0</v>
      </c>
      <c r="N101" s="5"/>
      <c r="O101" s="1" t="s">
        <v>31</v>
      </c>
    </row>
    <row r="102" spans="1:15" ht="27.6" x14ac:dyDescent="0.3">
      <c r="A102" s="1">
        <v>6.18</v>
      </c>
      <c r="B102" s="1" t="s">
        <v>363</v>
      </c>
      <c r="C102" s="5" t="s">
        <v>429</v>
      </c>
      <c r="D102" s="5" t="s">
        <v>430</v>
      </c>
      <c r="E102" s="2">
        <v>46475</v>
      </c>
      <c r="F102" s="2">
        <v>46493</v>
      </c>
      <c r="G102" s="3">
        <f t="shared" si="1"/>
        <v>15</v>
      </c>
      <c r="H102" s="1" t="s">
        <v>304</v>
      </c>
      <c r="I102" s="1" t="s">
        <v>431</v>
      </c>
      <c r="J102" s="5" t="s">
        <v>432</v>
      </c>
      <c r="K102" s="1" t="s">
        <v>368</v>
      </c>
      <c r="L102" s="1" t="s">
        <v>8</v>
      </c>
      <c r="M102" s="4">
        <v>0</v>
      </c>
      <c r="N102" s="5"/>
      <c r="O102" s="1" t="s">
        <v>31</v>
      </c>
    </row>
    <row r="103" spans="1:15" ht="27.6" x14ac:dyDescent="0.3">
      <c r="A103" s="1">
        <v>6.19</v>
      </c>
      <c r="B103" s="1" t="s">
        <v>363</v>
      </c>
      <c r="C103" s="5" t="s">
        <v>433</v>
      </c>
      <c r="D103" s="5" t="s">
        <v>434</v>
      </c>
      <c r="E103" s="2">
        <v>46482</v>
      </c>
      <c r="F103" s="2">
        <v>46493</v>
      </c>
      <c r="G103" s="3">
        <f t="shared" si="1"/>
        <v>10</v>
      </c>
      <c r="H103" s="1" t="s">
        <v>435</v>
      </c>
      <c r="I103" s="1" t="s">
        <v>436</v>
      </c>
      <c r="J103" s="5" t="s">
        <v>437</v>
      </c>
      <c r="K103" s="1" t="s">
        <v>368</v>
      </c>
      <c r="L103" s="1" t="s">
        <v>8</v>
      </c>
      <c r="M103" s="4">
        <v>0</v>
      </c>
      <c r="N103" s="5"/>
      <c r="O103" s="1" t="s">
        <v>31</v>
      </c>
    </row>
    <row r="104" spans="1:15" ht="27.6" x14ac:dyDescent="0.3">
      <c r="A104" s="1">
        <v>6.2</v>
      </c>
      <c r="B104" s="1" t="s">
        <v>363</v>
      </c>
      <c r="C104" s="5" t="s">
        <v>438</v>
      </c>
      <c r="D104" s="5" t="s">
        <v>439</v>
      </c>
      <c r="E104" s="2">
        <v>46482</v>
      </c>
      <c r="F104" s="2">
        <v>46500</v>
      </c>
      <c r="G104" s="3">
        <f t="shared" si="1"/>
        <v>15</v>
      </c>
      <c r="H104" s="1" t="s">
        <v>352</v>
      </c>
      <c r="I104" s="1" t="s">
        <v>440</v>
      </c>
      <c r="J104" s="5" t="s">
        <v>441</v>
      </c>
      <c r="K104" s="1" t="s">
        <v>368</v>
      </c>
      <c r="L104" s="1" t="s">
        <v>8</v>
      </c>
      <c r="M104" s="4">
        <v>0</v>
      </c>
      <c r="N104" s="5"/>
      <c r="O104" s="1" t="s">
        <v>31</v>
      </c>
    </row>
    <row r="105" spans="1:15" ht="27.6" x14ac:dyDescent="0.3">
      <c r="A105" s="1">
        <v>6.21</v>
      </c>
      <c r="B105" s="1" t="s">
        <v>363</v>
      </c>
      <c r="C105" s="5" t="s">
        <v>442</v>
      </c>
      <c r="D105" s="5" t="s">
        <v>443</v>
      </c>
      <c r="E105" s="2">
        <v>46496</v>
      </c>
      <c r="F105" s="2">
        <v>46514</v>
      </c>
      <c r="G105" s="3">
        <f t="shared" si="1"/>
        <v>15</v>
      </c>
      <c r="H105" s="1" t="s">
        <v>13</v>
      </c>
      <c r="I105" s="1" t="s">
        <v>444</v>
      </c>
      <c r="J105" s="5" t="s">
        <v>445</v>
      </c>
      <c r="K105" s="1" t="s">
        <v>368</v>
      </c>
      <c r="L105" s="1" t="s">
        <v>8</v>
      </c>
      <c r="M105" s="4">
        <v>0</v>
      </c>
      <c r="N105" s="5"/>
      <c r="O105" s="1" t="s">
        <v>31</v>
      </c>
    </row>
    <row r="106" spans="1:15" ht="27.6" x14ac:dyDescent="0.3">
      <c r="A106" s="1">
        <v>6.22</v>
      </c>
      <c r="B106" s="1" t="s">
        <v>363</v>
      </c>
      <c r="C106" s="5" t="s">
        <v>446</v>
      </c>
      <c r="D106" s="5" t="s">
        <v>447</v>
      </c>
      <c r="E106" s="2">
        <v>46517</v>
      </c>
      <c r="F106" s="2">
        <v>46517</v>
      </c>
      <c r="G106" s="3">
        <f t="shared" si="1"/>
        <v>1</v>
      </c>
      <c r="H106" s="1" t="s">
        <v>448</v>
      </c>
      <c r="I106" s="1">
        <v>6.21</v>
      </c>
      <c r="J106" s="5"/>
      <c r="K106" s="1" t="s">
        <v>368</v>
      </c>
      <c r="L106" s="1" t="s">
        <v>8</v>
      </c>
      <c r="M106" s="4">
        <v>0</v>
      </c>
      <c r="N106" s="5"/>
      <c r="O106" s="1" t="s">
        <v>78</v>
      </c>
    </row>
    <row r="107" spans="1:15" ht="27.6" x14ac:dyDescent="0.3">
      <c r="A107" s="1">
        <v>7.1</v>
      </c>
      <c r="B107" s="1" t="s">
        <v>449</v>
      </c>
      <c r="C107" s="5" t="s">
        <v>450</v>
      </c>
      <c r="D107" s="5" t="s">
        <v>451</v>
      </c>
      <c r="E107" s="2">
        <v>46405</v>
      </c>
      <c r="F107" s="2">
        <v>46423</v>
      </c>
      <c r="G107" s="3">
        <f t="shared" si="1"/>
        <v>15</v>
      </c>
      <c r="H107" s="1" t="s">
        <v>12</v>
      </c>
      <c r="I107" s="1" t="s">
        <v>452</v>
      </c>
      <c r="J107" s="5" t="s">
        <v>453</v>
      </c>
      <c r="K107" s="1" t="s">
        <v>454</v>
      </c>
      <c r="L107" s="1" t="s">
        <v>8</v>
      </c>
      <c r="M107" s="4">
        <v>0</v>
      </c>
      <c r="N107" s="5"/>
      <c r="O107" s="1" t="s">
        <v>31</v>
      </c>
    </row>
    <row r="108" spans="1:15" ht="27.6" x14ac:dyDescent="0.3">
      <c r="A108" s="1">
        <v>7.2</v>
      </c>
      <c r="B108" s="1" t="s">
        <v>449</v>
      </c>
      <c r="C108" s="5" t="s">
        <v>455</v>
      </c>
      <c r="D108" s="5" t="s">
        <v>456</v>
      </c>
      <c r="E108" s="2">
        <v>46419</v>
      </c>
      <c r="F108" s="2">
        <v>46437</v>
      </c>
      <c r="G108" s="3">
        <f t="shared" si="1"/>
        <v>15</v>
      </c>
      <c r="H108" s="1" t="s">
        <v>457</v>
      </c>
      <c r="I108" s="1" t="s">
        <v>458</v>
      </c>
      <c r="J108" s="5" t="s">
        <v>459</v>
      </c>
      <c r="K108" s="1" t="s">
        <v>454</v>
      </c>
      <c r="L108" s="1" t="s">
        <v>8</v>
      </c>
      <c r="M108" s="4">
        <v>0</v>
      </c>
      <c r="N108" s="5"/>
      <c r="O108" s="1" t="s">
        <v>31</v>
      </c>
    </row>
    <row r="109" spans="1:15" ht="27.6" x14ac:dyDescent="0.3">
      <c r="A109" s="1">
        <v>7.3</v>
      </c>
      <c r="B109" s="1" t="s">
        <v>449</v>
      </c>
      <c r="C109" s="5" t="s">
        <v>460</v>
      </c>
      <c r="D109" s="5" t="s">
        <v>461</v>
      </c>
      <c r="E109" s="2">
        <v>46426</v>
      </c>
      <c r="F109" s="2">
        <v>46444</v>
      </c>
      <c r="G109" s="3">
        <f t="shared" si="1"/>
        <v>15</v>
      </c>
      <c r="H109" s="1" t="s">
        <v>12</v>
      </c>
      <c r="I109" s="1">
        <v>7.1</v>
      </c>
      <c r="J109" s="5" t="s">
        <v>453</v>
      </c>
      <c r="K109" s="1" t="s">
        <v>454</v>
      </c>
      <c r="L109" s="1" t="s">
        <v>8</v>
      </c>
      <c r="M109" s="4">
        <v>0</v>
      </c>
      <c r="N109" s="5"/>
      <c r="O109" s="1" t="s">
        <v>31</v>
      </c>
    </row>
    <row r="110" spans="1:15" ht="27.6" x14ac:dyDescent="0.3">
      <c r="A110" s="1">
        <v>7.4</v>
      </c>
      <c r="B110" s="1" t="s">
        <v>449</v>
      </c>
      <c r="C110" s="5" t="s">
        <v>462</v>
      </c>
      <c r="D110" s="5" t="s">
        <v>463</v>
      </c>
      <c r="E110" s="2">
        <v>46433</v>
      </c>
      <c r="F110" s="2">
        <v>46451</v>
      </c>
      <c r="G110" s="3">
        <f t="shared" si="1"/>
        <v>15</v>
      </c>
      <c r="H110" s="1" t="s">
        <v>464</v>
      </c>
      <c r="I110" s="1" t="s">
        <v>465</v>
      </c>
      <c r="J110" s="5" t="s">
        <v>466</v>
      </c>
      <c r="K110" s="1" t="s">
        <v>454</v>
      </c>
      <c r="L110" s="1" t="s">
        <v>8</v>
      </c>
      <c r="M110" s="4">
        <v>0</v>
      </c>
      <c r="N110" s="5"/>
      <c r="O110" s="1" t="s">
        <v>31</v>
      </c>
    </row>
    <row r="111" spans="1:15" ht="27.6" x14ac:dyDescent="0.3">
      <c r="A111" s="1">
        <v>7.5</v>
      </c>
      <c r="B111" s="1" t="s">
        <v>449</v>
      </c>
      <c r="C111" s="5" t="s">
        <v>467</v>
      </c>
      <c r="D111" s="5" t="s">
        <v>468</v>
      </c>
      <c r="E111" s="2">
        <v>46433</v>
      </c>
      <c r="F111" s="2">
        <v>46451</v>
      </c>
      <c r="G111" s="3">
        <f t="shared" si="1"/>
        <v>15</v>
      </c>
      <c r="H111" s="1" t="s">
        <v>11</v>
      </c>
      <c r="I111" s="1">
        <v>1.1299999999999999</v>
      </c>
      <c r="J111" s="5" t="s">
        <v>469</v>
      </c>
      <c r="K111" s="1" t="s">
        <v>454</v>
      </c>
      <c r="L111" s="1" t="s">
        <v>8</v>
      </c>
      <c r="M111" s="4">
        <v>0</v>
      </c>
      <c r="N111" s="5"/>
      <c r="O111" s="1" t="s">
        <v>31</v>
      </c>
    </row>
    <row r="112" spans="1:15" ht="27.6" x14ac:dyDescent="0.3">
      <c r="A112" s="1">
        <v>7.6</v>
      </c>
      <c r="B112" s="1" t="s">
        <v>449</v>
      </c>
      <c r="C112" s="5" t="s">
        <v>470</v>
      </c>
      <c r="D112" s="5" t="s">
        <v>471</v>
      </c>
      <c r="E112" s="2">
        <v>46433</v>
      </c>
      <c r="F112" s="2">
        <v>46458</v>
      </c>
      <c r="G112" s="3">
        <f t="shared" si="1"/>
        <v>20</v>
      </c>
      <c r="H112" s="1" t="s">
        <v>472</v>
      </c>
      <c r="I112" s="1" t="s">
        <v>473</v>
      </c>
      <c r="J112" s="5" t="s">
        <v>474</v>
      </c>
      <c r="K112" s="1" t="s">
        <v>454</v>
      </c>
      <c r="L112" s="1" t="s">
        <v>8</v>
      </c>
      <c r="M112" s="4">
        <v>0</v>
      </c>
      <c r="N112" s="5"/>
      <c r="O112" s="1" t="s">
        <v>31</v>
      </c>
    </row>
    <row r="113" spans="1:15" ht="27.6" x14ac:dyDescent="0.3">
      <c r="A113" s="1">
        <v>7.7</v>
      </c>
      <c r="B113" s="1" t="s">
        <v>449</v>
      </c>
      <c r="C113" s="5" t="s">
        <v>475</v>
      </c>
      <c r="D113" s="5" t="s">
        <v>476</v>
      </c>
      <c r="E113" s="2">
        <v>46461</v>
      </c>
      <c r="F113" s="2">
        <v>46479</v>
      </c>
      <c r="G113" s="3">
        <f t="shared" si="1"/>
        <v>15</v>
      </c>
      <c r="H113" s="1" t="s">
        <v>477</v>
      </c>
      <c r="I113" s="1" t="s">
        <v>478</v>
      </c>
      <c r="J113" s="5" t="s">
        <v>131</v>
      </c>
      <c r="K113" s="1" t="s">
        <v>454</v>
      </c>
      <c r="L113" s="1" t="s">
        <v>8</v>
      </c>
      <c r="M113" s="4">
        <v>0</v>
      </c>
      <c r="N113" s="5"/>
      <c r="O113" s="1" t="s">
        <v>31</v>
      </c>
    </row>
    <row r="114" spans="1:15" ht="27.6" x14ac:dyDescent="0.3">
      <c r="A114" s="1">
        <v>7.8</v>
      </c>
      <c r="B114" s="1" t="s">
        <v>449</v>
      </c>
      <c r="C114" s="5" t="s">
        <v>479</v>
      </c>
      <c r="D114" s="5" t="s">
        <v>480</v>
      </c>
      <c r="E114" s="2">
        <v>46461</v>
      </c>
      <c r="F114" s="2">
        <v>46486</v>
      </c>
      <c r="G114" s="3">
        <f t="shared" si="1"/>
        <v>20</v>
      </c>
      <c r="H114" s="1" t="s">
        <v>481</v>
      </c>
      <c r="I114" s="1" t="s">
        <v>482</v>
      </c>
      <c r="J114" s="5" t="s">
        <v>131</v>
      </c>
      <c r="K114" s="1" t="s">
        <v>454</v>
      </c>
      <c r="L114" s="1" t="s">
        <v>8</v>
      </c>
      <c r="M114" s="4">
        <v>0</v>
      </c>
      <c r="N114" s="5"/>
      <c r="O114" s="1" t="s">
        <v>31</v>
      </c>
    </row>
    <row r="115" spans="1:15" ht="27.6" x14ac:dyDescent="0.3">
      <c r="A115" s="1">
        <v>7.9</v>
      </c>
      <c r="B115" s="1" t="s">
        <v>449</v>
      </c>
      <c r="C115" s="5" t="s">
        <v>483</v>
      </c>
      <c r="D115" s="5" t="s">
        <v>484</v>
      </c>
      <c r="E115" s="2">
        <v>46468</v>
      </c>
      <c r="F115" s="2">
        <v>46479</v>
      </c>
      <c r="G115" s="3">
        <f t="shared" si="1"/>
        <v>10</v>
      </c>
      <c r="H115" s="1" t="s">
        <v>15</v>
      </c>
      <c r="I115" s="1">
        <v>0.12</v>
      </c>
      <c r="J115" s="5"/>
      <c r="K115" s="1" t="s">
        <v>454</v>
      </c>
      <c r="L115" s="1" t="s">
        <v>8</v>
      </c>
      <c r="M115" s="4">
        <v>0</v>
      </c>
      <c r="N115" s="5"/>
      <c r="O115" s="1" t="s">
        <v>31</v>
      </c>
    </row>
    <row r="116" spans="1:15" ht="27.6" x14ac:dyDescent="0.3">
      <c r="A116" s="1">
        <v>7.1</v>
      </c>
      <c r="B116" s="1" t="s">
        <v>449</v>
      </c>
      <c r="C116" s="5" t="s">
        <v>485</v>
      </c>
      <c r="D116" s="5" t="s">
        <v>486</v>
      </c>
      <c r="E116" s="2">
        <v>46482</v>
      </c>
      <c r="F116" s="2">
        <v>46500</v>
      </c>
      <c r="G116" s="3">
        <f t="shared" si="1"/>
        <v>15</v>
      </c>
      <c r="H116" s="1" t="s">
        <v>487</v>
      </c>
      <c r="I116" s="1" t="s">
        <v>488</v>
      </c>
      <c r="J116" s="5"/>
      <c r="K116" s="1" t="s">
        <v>454</v>
      </c>
      <c r="L116" s="1" t="s">
        <v>8</v>
      </c>
      <c r="M116" s="4">
        <v>0</v>
      </c>
      <c r="N116" s="5"/>
      <c r="O116" s="1" t="s">
        <v>31</v>
      </c>
    </row>
    <row r="117" spans="1:15" ht="27.6" x14ac:dyDescent="0.3">
      <c r="A117" s="1">
        <v>7.11</v>
      </c>
      <c r="B117" s="1" t="s">
        <v>449</v>
      </c>
      <c r="C117" s="5" t="s">
        <v>489</v>
      </c>
      <c r="D117" s="5" t="s">
        <v>490</v>
      </c>
      <c r="E117" s="2">
        <v>46482</v>
      </c>
      <c r="F117" s="2">
        <v>46500</v>
      </c>
      <c r="G117" s="3">
        <f t="shared" si="1"/>
        <v>15</v>
      </c>
      <c r="H117" s="1" t="s">
        <v>491</v>
      </c>
      <c r="I117" s="1" t="s">
        <v>492</v>
      </c>
      <c r="J117" s="5"/>
      <c r="K117" s="1" t="s">
        <v>454</v>
      </c>
      <c r="L117" s="1" t="s">
        <v>8</v>
      </c>
      <c r="M117" s="4">
        <v>0</v>
      </c>
      <c r="N117" s="5"/>
      <c r="O117" s="1" t="s">
        <v>31</v>
      </c>
    </row>
    <row r="118" spans="1:15" ht="27.6" x14ac:dyDescent="0.3">
      <c r="A118" s="1">
        <v>7.12</v>
      </c>
      <c r="B118" s="1" t="s">
        <v>449</v>
      </c>
      <c r="C118" s="5" t="s">
        <v>493</v>
      </c>
      <c r="D118" s="5" t="s">
        <v>494</v>
      </c>
      <c r="E118" s="2">
        <v>46503</v>
      </c>
      <c r="F118" s="2">
        <v>46503</v>
      </c>
      <c r="G118" s="3">
        <f t="shared" si="1"/>
        <v>1</v>
      </c>
      <c r="H118" s="1" t="s">
        <v>495</v>
      </c>
      <c r="I118" s="1" t="s">
        <v>496</v>
      </c>
      <c r="J118" s="5"/>
      <c r="K118" s="1" t="s">
        <v>454</v>
      </c>
      <c r="L118" s="1" t="s">
        <v>8</v>
      </c>
      <c r="M118" s="4">
        <v>0</v>
      </c>
      <c r="N118" s="5"/>
      <c r="O118" s="1" t="s">
        <v>78</v>
      </c>
    </row>
    <row r="119" spans="1:15" ht="27.6" x14ac:dyDescent="0.3">
      <c r="A119" s="1">
        <v>8.1</v>
      </c>
      <c r="B119" s="1" t="s">
        <v>497</v>
      </c>
      <c r="C119" s="5" t="s">
        <v>498</v>
      </c>
      <c r="D119" s="5" t="s">
        <v>499</v>
      </c>
      <c r="E119" s="2">
        <v>46398</v>
      </c>
      <c r="F119" s="2">
        <v>46409</v>
      </c>
      <c r="G119" s="3">
        <f t="shared" si="1"/>
        <v>10</v>
      </c>
      <c r="H119" s="1" t="s">
        <v>500</v>
      </c>
      <c r="I119" s="1" t="s">
        <v>501</v>
      </c>
      <c r="J119" s="5"/>
      <c r="K119" s="1" t="s">
        <v>502</v>
      </c>
      <c r="L119" s="1" t="s">
        <v>8</v>
      </c>
      <c r="M119" s="4">
        <v>0</v>
      </c>
      <c r="N119" s="5"/>
      <c r="O119" s="1" t="s">
        <v>31</v>
      </c>
    </row>
    <row r="120" spans="1:15" x14ac:dyDescent="0.3">
      <c r="A120" s="1">
        <v>8.1999999999999993</v>
      </c>
      <c r="B120" s="1" t="s">
        <v>497</v>
      </c>
      <c r="C120" s="5" t="s">
        <v>503</v>
      </c>
      <c r="D120" s="5" t="s">
        <v>504</v>
      </c>
      <c r="E120" s="2">
        <v>46412</v>
      </c>
      <c r="F120" s="2">
        <v>46500</v>
      </c>
      <c r="G120" s="3">
        <f t="shared" si="1"/>
        <v>65</v>
      </c>
      <c r="H120" s="1" t="s">
        <v>505</v>
      </c>
      <c r="I120" s="1" t="s">
        <v>506</v>
      </c>
      <c r="J120" s="5" t="s">
        <v>86</v>
      </c>
      <c r="K120" s="1" t="s">
        <v>502</v>
      </c>
      <c r="L120" s="1" t="s">
        <v>8</v>
      </c>
      <c r="M120" s="4">
        <v>0</v>
      </c>
      <c r="N120" s="5"/>
      <c r="O120" s="1" t="s">
        <v>31</v>
      </c>
    </row>
    <row r="121" spans="1:15" ht="27.6" x14ac:dyDescent="0.3">
      <c r="A121" s="1">
        <v>8.3000000000000007</v>
      </c>
      <c r="B121" s="1" t="s">
        <v>497</v>
      </c>
      <c r="C121" s="5" t="s">
        <v>507</v>
      </c>
      <c r="D121" s="5" t="s">
        <v>508</v>
      </c>
      <c r="E121" s="2">
        <v>46426</v>
      </c>
      <c r="F121" s="2">
        <v>46500</v>
      </c>
      <c r="G121" s="3">
        <f t="shared" si="1"/>
        <v>55</v>
      </c>
      <c r="H121" s="1" t="s">
        <v>509</v>
      </c>
      <c r="I121" s="1" t="s">
        <v>510</v>
      </c>
      <c r="J121" s="5"/>
      <c r="K121" s="1" t="s">
        <v>502</v>
      </c>
      <c r="L121" s="1" t="s">
        <v>8</v>
      </c>
      <c r="M121" s="4">
        <v>0</v>
      </c>
      <c r="N121" s="5"/>
      <c r="O121" s="1" t="s">
        <v>31</v>
      </c>
    </row>
    <row r="122" spans="1:15" ht="27.6" x14ac:dyDescent="0.3">
      <c r="A122" s="1">
        <v>8.4</v>
      </c>
      <c r="B122" s="1" t="s">
        <v>497</v>
      </c>
      <c r="C122" s="5" t="s">
        <v>511</v>
      </c>
      <c r="D122" s="5" t="s">
        <v>512</v>
      </c>
      <c r="E122" s="2">
        <v>46510</v>
      </c>
      <c r="F122" s="2">
        <v>46521</v>
      </c>
      <c r="G122" s="3">
        <f t="shared" si="1"/>
        <v>10</v>
      </c>
      <c r="H122" s="1" t="s">
        <v>13</v>
      </c>
      <c r="I122" s="1" t="s">
        <v>513</v>
      </c>
      <c r="J122" s="5" t="s">
        <v>514</v>
      </c>
      <c r="K122" s="1" t="s">
        <v>502</v>
      </c>
      <c r="L122" s="1" t="s">
        <v>8</v>
      </c>
      <c r="M122" s="4">
        <v>0</v>
      </c>
      <c r="N122" s="5"/>
      <c r="O122" s="1" t="s">
        <v>31</v>
      </c>
    </row>
    <row r="123" spans="1:15" ht="27.6" x14ac:dyDescent="0.3">
      <c r="A123" s="1">
        <v>8.5</v>
      </c>
      <c r="B123" s="1" t="s">
        <v>497</v>
      </c>
      <c r="C123" s="5" t="s">
        <v>515</v>
      </c>
      <c r="D123" s="5" t="s">
        <v>516</v>
      </c>
      <c r="E123" s="2">
        <v>46510</v>
      </c>
      <c r="F123" s="2">
        <v>46528</v>
      </c>
      <c r="G123" s="3">
        <f t="shared" si="1"/>
        <v>15</v>
      </c>
      <c r="H123" s="1" t="s">
        <v>285</v>
      </c>
      <c r="I123" s="1" t="s">
        <v>517</v>
      </c>
      <c r="J123" s="5" t="s">
        <v>95</v>
      </c>
      <c r="K123" s="1" t="s">
        <v>502</v>
      </c>
      <c r="L123" s="1" t="s">
        <v>8</v>
      </c>
      <c r="M123" s="4">
        <v>0</v>
      </c>
      <c r="N123" s="5"/>
      <c r="O123" s="1" t="s">
        <v>31</v>
      </c>
    </row>
    <row r="124" spans="1:15" ht="27.6" x14ac:dyDescent="0.3">
      <c r="A124" s="1">
        <v>8.6</v>
      </c>
      <c r="B124" s="1" t="s">
        <v>497</v>
      </c>
      <c r="C124" s="5" t="s">
        <v>518</v>
      </c>
      <c r="D124" s="5" t="s">
        <v>519</v>
      </c>
      <c r="E124" s="2">
        <v>46517</v>
      </c>
      <c r="F124" s="2">
        <v>46528</v>
      </c>
      <c r="G124" s="3">
        <f t="shared" si="1"/>
        <v>10</v>
      </c>
      <c r="H124" s="1" t="s">
        <v>520</v>
      </c>
      <c r="I124" s="1">
        <v>6.21</v>
      </c>
      <c r="J124" s="5" t="s">
        <v>103</v>
      </c>
      <c r="K124" s="1" t="s">
        <v>502</v>
      </c>
      <c r="L124" s="1" t="s">
        <v>8</v>
      </c>
      <c r="M124" s="4">
        <v>0</v>
      </c>
      <c r="N124" s="5"/>
      <c r="O124" s="1" t="s">
        <v>31</v>
      </c>
    </row>
    <row r="125" spans="1:15" ht="27.6" x14ac:dyDescent="0.3">
      <c r="A125" s="1">
        <v>8.6999999999999993</v>
      </c>
      <c r="B125" s="1" t="s">
        <v>497</v>
      </c>
      <c r="C125" s="5" t="s">
        <v>521</v>
      </c>
      <c r="D125" s="5" t="s">
        <v>522</v>
      </c>
      <c r="E125" s="2">
        <v>46517</v>
      </c>
      <c r="F125" s="2">
        <v>46535</v>
      </c>
      <c r="G125" s="3">
        <f t="shared" si="1"/>
        <v>15</v>
      </c>
      <c r="H125" s="1" t="s">
        <v>523</v>
      </c>
      <c r="I125" s="1" t="s">
        <v>524</v>
      </c>
      <c r="J125" s="5" t="s">
        <v>525</v>
      </c>
      <c r="K125" s="1" t="s">
        <v>502</v>
      </c>
      <c r="L125" s="1" t="s">
        <v>8</v>
      </c>
      <c r="M125" s="4">
        <v>0</v>
      </c>
      <c r="N125" s="5"/>
      <c r="O125" s="1" t="s">
        <v>31</v>
      </c>
    </row>
    <row r="126" spans="1:15" ht="27.6" x14ac:dyDescent="0.3">
      <c r="A126" s="1">
        <v>8.8000000000000007</v>
      </c>
      <c r="B126" s="1" t="s">
        <v>497</v>
      </c>
      <c r="C126" s="5" t="s">
        <v>526</v>
      </c>
      <c r="D126" s="5" t="s">
        <v>527</v>
      </c>
      <c r="E126" s="2">
        <v>46524</v>
      </c>
      <c r="F126" s="2">
        <v>46535</v>
      </c>
      <c r="G126" s="3">
        <f t="shared" si="1"/>
        <v>10</v>
      </c>
      <c r="H126" s="1" t="s">
        <v>528</v>
      </c>
      <c r="I126" s="1" t="s">
        <v>529</v>
      </c>
      <c r="J126" s="5" t="s">
        <v>530</v>
      </c>
      <c r="K126" s="1" t="s">
        <v>502</v>
      </c>
      <c r="L126" s="1" t="s">
        <v>8</v>
      </c>
      <c r="M126" s="4">
        <v>0</v>
      </c>
      <c r="N126" s="5"/>
      <c r="O126" s="1" t="s">
        <v>31</v>
      </c>
    </row>
    <row r="127" spans="1:15" ht="27.6" x14ac:dyDescent="0.3">
      <c r="A127" s="1">
        <v>8.9</v>
      </c>
      <c r="B127" s="1" t="s">
        <v>497</v>
      </c>
      <c r="C127" s="5" t="s">
        <v>531</v>
      </c>
      <c r="D127" s="5" t="s">
        <v>532</v>
      </c>
      <c r="E127" s="2">
        <v>46524</v>
      </c>
      <c r="F127" s="2">
        <v>46535</v>
      </c>
      <c r="G127" s="3">
        <f t="shared" si="1"/>
        <v>10</v>
      </c>
      <c r="H127" s="1" t="s">
        <v>533</v>
      </c>
      <c r="I127" s="1">
        <v>8.4</v>
      </c>
      <c r="J127" s="5"/>
      <c r="K127" s="1" t="s">
        <v>502</v>
      </c>
      <c r="L127" s="1" t="s">
        <v>8</v>
      </c>
      <c r="M127" s="4">
        <v>0</v>
      </c>
      <c r="N127" s="5"/>
      <c r="O127" s="1" t="s">
        <v>31</v>
      </c>
    </row>
    <row r="128" spans="1:15" ht="27.6" x14ac:dyDescent="0.3">
      <c r="A128" s="1">
        <v>8.1</v>
      </c>
      <c r="B128" s="1" t="s">
        <v>497</v>
      </c>
      <c r="C128" s="5" t="s">
        <v>534</v>
      </c>
      <c r="D128" s="5" t="s">
        <v>535</v>
      </c>
      <c r="E128" s="2">
        <v>46538</v>
      </c>
      <c r="F128" s="2">
        <v>46549</v>
      </c>
      <c r="G128" s="3">
        <f t="shared" si="1"/>
        <v>10</v>
      </c>
      <c r="H128" s="1" t="s">
        <v>14</v>
      </c>
      <c r="I128" s="1" t="s">
        <v>536</v>
      </c>
      <c r="J128" s="5"/>
      <c r="K128" s="1" t="s">
        <v>502</v>
      </c>
      <c r="L128" s="1" t="s">
        <v>8</v>
      </c>
      <c r="M128" s="4">
        <v>0</v>
      </c>
      <c r="N128" s="5"/>
      <c r="O128" s="1" t="s">
        <v>31</v>
      </c>
    </row>
    <row r="129" spans="1:15" ht="27.6" x14ac:dyDescent="0.3">
      <c r="A129" s="1">
        <v>8.11</v>
      </c>
      <c r="B129" s="1" t="s">
        <v>497</v>
      </c>
      <c r="C129" s="5" t="s">
        <v>537</v>
      </c>
      <c r="D129" s="5" t="s">
        <v>538</v>
      </c>
      <c r="E129" s="2">
        <v>46545</v>
      </c>
      <c r="F129" s="2">
        <v>46556</v>
      </c>
      <c r="G129" s="3">
        <f t="shared" si="1"/>
        <v>10</v>
      </c>
      <c r="H129" s="1" t="s">
        <v>539</v>
      </c>
      <c r="I129" s="1">
        <v>8.1</v>
      </c>
      <c r="J129" s="5"/>
      <c r="K129" s="1" t="s">
        <v>502</v>
      </c>
      <c r="L129" s="1" t="s">
        <v>8</v>
      </c>
      <c r="M129" s="4">
        <v>0</v>
      </c>
      <c r="N129" s="5"/>
      <c r="O129" s="1" t="s">
        <v>31</v>
      </c>
    </row>
    <row r="130" spans="1:15" ht="27.6" x14ac:dyDescent="0.3">
      <c r="A130" s="1">
        <v>8.1199999999999992</v>
      </c>
      <c r="B130" s="1" t="s">
        <v>497</v>
      </c>
      <c r="C130" s="5" t="s">
        <v>540</v>
      </c>
      <c r="D130" s="5" t="s">
        <v>541</v>
      </c>
      <c r="E130" s="2">
        <v>46552</v>
      </c>
      <c r="F130" s="2">
        <v>46556</v>
      </c>
      <c r="G130" s="3">
        <f t="shared" si="1"/>
        <v>5</v>
      </c>
      <c r="H130" s="1" t="s">
        <v>17</v>
      </c>
      <c r="I130" s="1" t="s">
        <v>542</v>
      </c>
      <c r="J130" s="5"/>
      <c r="K130" s="1" t="s">
        <v>502</v>
      </c>
      <c r="L130" s="1" t="s">
        <v>8</v>
      </c>
      <c r="M130" s="4">
        <v>0</v>
      </c>
      <c r="N130" s="5"/>
      <c r="O130" s="1" t="s">
        <v>31</v>
      </c>
    </row>
    <row r="131" spans="1:15" ht="27.6" x14ac:dyDescent="0.3">
      <c r="A131" s="1">
        <v>8.1300000000000008</v>
      </c>
      <c r="B131" s="1" t="s">
        <v>497</v>
      </c>
      <c r="C131" s="5" t="s">
        <v>543</v>
      </c>
      <c r="D131" s="5" t="s">
        <v>544</v>
      </c>
      <c r="E131" s="2">
        <v>46559</v>
      </c>
      <c r="F131" s="2">
        <v>46559</v>
      </c>
      <c r="G131" s="3">
        <f t="shared" ref="G131:G141" si="2">NETWORKDAYS(E131,F131)</f>
        <v>1</v>
      </c>
      <c r="H131" s="1" t="s">
        <v>16</v>
      </c>
      <c r="I131" s="1">
        <v>8.1199999999999992</v>
      </c>
      <c r="J131" s="5"/>
      <c r="K131" s="1" t="s">
        <v>502</v>
      </c>
      <c r="L131" s="1" t="s">
        <v>8</v>
      </c>
      <c r="M131" s="4">
        <v>0</v>
      </c>
      <c r="N131" s="5"/>
      <c r="O131" s="1" t="s">
        <v>78</v>
      </c>
    </row>
    <row r="132" spans="1:15" ht="27.6" x14ac:dyDescent="0.3">
      <c r="A132" s="1">
        <v>8.14</v>
      </c>
      <c r="B132" s="1" t="s">
        <v>497</v>
      </c>
      <c r="C132" s="5" t="s">
        <v>545</v>
      </c>
      <c r="D132" s="5" t="s">
        <v>546</v>
      </c>
      <c r="E132" s="2">
        <v>46560</v>
      </c>
      <c r="F132" s="2">
        <v>46561</v>
      </c>
      <c r="G132" s="3">
        <f t="shared" si="2"/>
        <v>2</v>
      </c>
      <c r="H132" s="1" t="s">
        <v>547</v>
      </c>
      <c r="I132" s="1">
        <v>8.1300000000000008</v>
      </c>
      <c r="J132" s="5"/>
      <c r="K132" s="1" t="s">
        <v>502</v>
      </c>
      <c r="L132" s="1" t="s">
        <v>8</v>
      </c>
      <c r="M132" s="4">
        <v>0</v>
      </c>
      <c r="N132" s="5"/>
      <c r="O132" s="1" t="s">
        <v>31</v>
      </c>
    </row>
    <row r="133" spans="1:15" ht="27.6" x14ac:dyDescent="0.3">
      <c r="A133" s="1">
        <v>8.15</v>
      </c>
      <c r="B133" s="1" t="s">
        <v>497</v>
      </c>
      <c r="C133" s="5" t="s">
        <v>548</v>
      </c>
      <c r="D133" s="5" t="s">
        <v>549</v>
      </c>
      <c r="E133" s="2">
        <v>46562</v>
      </c>
      <c r="F133" s="2">
        <v>46563</v>
      </c>
      <c r="G133" s="3">
        <f t="shared" si="2"/>
        <v>2</v>
      </c>
      <c r="H133" s="1" t="s">
        <v>550</v>
      </c>
      <c r="I133" s="1">
        <v>8.14</v>
      </c>
      <c r="J133" s="5"/>
      <c r="K133" s="1" t="s">
        <v>502</v>
      </c>
      <c r="L133" s="1" t="s">
        <v>8</v>
      </c>
      <c r="M133" s="4">
        <v>0</v>
      </c>
      <c r="N133" s="5"/>
      <c r="O133" s="1" t="s">
        <v>31</v>
      </c>
    </row>
    <row r="134" spans="1:15" x14ac:dyDescent="0.3">
      <c r="A134" s="1">
        <v>8.16</v>
      </c>
      <c r="B134" s="1" t="s">
        <v>497</v>
      </c>
      <c r="C134" s="5" t="s">
        <v>551</v>
      </c>
      <c r="D134" s="5" t="s">
        <v>552</v>
      </c>
      <c r="E134" s="2">
        <v>46566</v>
      </c>
      <c r="F134" s="2">
        <v>46566</v>
      </c>
      <c r="G134" s="3">
        <f t="shared" si="2"/>
        <v>1</v>
      </c>
      <c r="H134" s="1" t="s">
        <v>42</v>
      </c>
      <c r="I134" s="1">
        <v>8.15</v>
      </c>
      <c r="J134" s="5"/>
      <c r="K134" s="1" t="s">
        <v>502</v>
      </c>
      <c r="L134" s="1" t="s">
        <v>8</v>
      </c>
      <c r="M134" s="4">
        <v>0</v>
      </c>
      <c r="N134" s="5"/>
      <c r="O134" s="1" t="s">
        <v>78</v>
      </c>
    </row>
    <row r="135" spans="1:15" ht="27.6" x14ac:dyDescent="0.3">
      <c r="A135" s="1">
        <v>9.1</v>
      </c>
      <c r="B135" s="1" t="s">
        <v>553</v>
      </c>
      <c r="C135" s="5" t="s">
        <v>554</v>
      </c>
      <c r="D135" s="5" t="s">
        <v>555</v>
      </c>
      <c r="E135" s="2">
        <v>46566</v>
      </c>
      <c r="F135" s="2">
        <v>46577</v>
      </c>
      <c r="G135" s="3">
        <f t="shared" si="2"/>
        <v>10</v>
      </c>
      <c r="H135" s="1" t="s">
        <v>556</v>
      </c>
      <c r="I135" s="1">
        <v>8.16</v>
      </c>
      <c r="J135" s="5"/>
      <c r="K135" s="1" t="s">
        <v>557</v>
      </c>
      <c r="L135" s="1" t="s">
        <v>8</v>
      </c>
      <c r="M135" s="4">
        <v>0</v>
      </c>
      <c r="N135" s="5"/>
      <c r="O135" s="1" t="s">
        <v>31</v>
      </c>
    </row>
    <row r="136" spans="1:15" ht="27.6" x14ac:dyDescent="0.3">
      <c r="A136" s="1">
        <v>9.1999999999999993</v>
      </c>
      <c r="B136" s="1" t="s">
        <v>553</v>
      </c>
      <c r="C136" s="5" t="s">
        <v>558</v>
      </c>
      <c r="D136" s="5" t="s">
        <v>559</v>
      </c>
      <c r="E136" s="2">
        <v>46566</v>
      </c>
      <c r="F136" s="2">
        <v>46577</v>
      </c>
      <c r="G136" s="3">
        <f t="shared" si="2"/>
        <v>10</v>
      </c>
      <c r="H136" s="1" t="s">
        <v>560</v>
      </c>
      <c r="I136" s="1">
        <v>8.16</v>
      </c>
      <c r="J136" s="5" t="s">
        <v>561</v>
      </c>
      <c r="K136" s="1" t="s">
        <v>557</v>
      </c>
      <c r="L136" s="1" t="s">
        <v>8</v>
      </c>
      <c r="M136" s="4">
        <v>0</v>
      </c>
      <c r="N136" s="5"/>
      <c r="O136" s="1" t="s">
        <v>31</v>
      </c>
    </row>
    <row r="137" spans="1:15" ht="27.6" x14ac:dyDescent="0.3">
      <c r="A137" s="1">
        <v>9.3000000000000007</v>
      </c>
      <c r="B137" s="1" t="s">
        <v>553</v>
      </c>
      <c r="C137" s="5" t="s">
        <v>562</v>
      </c>
      <c r="D137" s="5" t="s">
        <v>563</v>
      </c>
      <c r="E137" s="2">
        <v>46566</v>
      </c>
      <c r="F137" s="2">
        <v>46577</v>
      </c>
      <c r="G137" s="3">
        <f t="shared" si="2"/>
        <v>10</v>
      </c>
      <c r="H137" s="1" t="s">
        <v>505</v>
      </c>
      <c r="I137" s="1">
        <v>8.16</v>
      </c>
      <c r="J137" s="5"/>
      <c r="K137" s="1" t="s">
        <v>557</v>
      </c>
      <c r="L137" s="1" t="s">
        <v>8</v>
      </c>
      <c r="M137" s="4">
        <v>0</v>
      </c>
      <c r="N137" s="5"/>
      <c r="O137" s="1" t="s">
        <v>31</v>
      </c>
    </row>
    <row r="138" spans="1:15" ht="27.6" x14ac:dyDescent="0.3">
      <c r="A138" s="1">
        <v>9.4</v>
      </c>
      <c r="B138" s="1" t="s">
        <v>553</v>
      </c>
      <c r="C138" s="5" t="s">
        <v>564</v>
      </c>
      <c r="D138" s="5" t="s">
        <v>565</v>
      </c>
      <c r="E138" s="2">
        <v>46573</v>
      </c>
      <c r="F138" s="2">
        <v>46577</v>
      </c>
      <c r="G138" s="3">
        <f t="shared" si="2"/>
        <v>5</v>
      </c>
      <c r="H138" s="1" t="s">
        <v>566</v>
      </c>
      <c r="I138" s="1">
        <v>8.16</v>
      </c>
      <c r="J138" s="5" t="s">
        <v>567</v>
      </c>
      <c r="K138" s="1" t="s">
        <v>557</v>
      </c>
      <c r="L138" s="1" t="s">
        <v>8</v>
      </c>
      <c r="M138" s="4">
        <v>0</v>
      </c>
      <c r="N138" s="5"/>
      <c r="O138" s="1" t="s">
        <v>31</v>
      </c>
    </row>
    <row r="139" spans="1:15" ht="27.6" x14ac:dyDescent="0.3">
      <c r="A139" s="1">
        <v>9.5</v>
      </c>
      <c r="B139" s="1" t="s">
        <v>553</v>
      </c>
      <c r="C139" s="5" t="s">
        <v>568</v>
      </c>
      <c r="D139" s="5" t="s">
        <v>569</v>
      </c>
      <c r="E139" s="2">
        <v>46576</v>
      </c>
      <c r="F139" s="2">
        <v>46582</v>
      </c>
      <c r="G139" s="3">
        <f t="shared" si="2"/>
        <v>5</v>
      </c>
      <c r="H139" s="1" t="s">
        <v>15</v>
      </c>
      <c r="I139" s="1" t="s">
        <v>570</v>
      </c>
      <c r="J139" s="5"/>
      <c r="K139" s="1" t="s">
        <v>557</v>
      </c>
      <c r="L139" s="1" t="s">
        <v>8</v>
      </c>
      <c r="M139" s="4">
        <v>0</v>
      </c>
      <c r="N139" s="5"/>
      <c r="O139" s="1" t="s">
        <v>31</v>
      </c>
    </row>
    <row r="140" spans="1:15" ht="27.6" x14ac:dyDescent="0.3">
      <c r="A140" s="1">
        <v>9.6</v>
      </c>
      <c r="B140" s="1" t="s">
        <v>553</v>
      </c>
      <c r="C140" s="5" t="s">
        <v>571</v>
      </c>
      <c r="D140" s="5" t="s">
        <v>572</v>
      </c>
      <c r="E140" s="2">
        <v>46580</v>
      </c>
      <c r="F140" s="2">
        <v>46583</v>
      </c>
      <c r="G140" s="3">
        <f t="shared" si="2"/>
        <v>4</v>
      </c>
      <c r="H140" s="1" t="s">
        <v>29</v>
      </c>
      <c r="I140" s="1" t="s">
        <v>573</v>
      </c>
      <c r="J140" s="5"/>
      <c r="K140" s="1" t="s">
        <v>557</v>
      </c>
      <c r="L140" s="1" t="s">
        <v>8</v>
      </c>
      <c r="M140" s="4">
        <v>0</v>
      </c>
      <c r="N140" s="5"/>
      <c r="O140" s="1" t="s">
        <v>31</v>
      </c>
    </row>
    <row r="141" spans="1:15" ht="27.6" x14ac:dyDescent="0.3">
      <c r="A141" s="1">
        <v>9.6999999999999993</v>
      </c>
      <c r="B141" s="1" t="s">
        <v>553</v>
      </c>
      <c r="C141" s="5" t="s">
        <v>574</v>
      </c>
      <c r="D141" s="5" t="s">
        <v>575</v>
      </c>
      <c r="E141" s="2">
        <v>46584</v>
      </c>
      <c r="F141" s="2">
        <v>46584</v>
      </c>
      <c r="G141" s="3">
        <f t="shared" si="2"/>
        <v>1</v>
      </c>
      <c r="H141" s="1" t="s">
        <v>576</v>
      </c>
      <c r="I141" s="1" t="s">
        <v>577</v>
      </c>
      <c r="J141" s="5"/>
      <c r="K141" s="1" t="s">
        <v>557</v>
      </c>
      <c r="L141" s="1" t="s">
        <v>8</v>
      </c>
      <c r="M141" s="4">
        <v>0</v>
      </c>
      <c r="N141" s="5"/>
      <c r="O141" s="1" t="s">
        <v>78</v>
      </c>
    </row>
  </sheetData>
  <conditionalFormatting sqref="M2:M1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{3F582889-FB5C-49C6-9693-50DD6F969E00}</x14:id>
        </ext>
      </extLst>
    </cfRule>
  </conditionalFormatting>
  <conditionalFormatting sqref="O2:O141">
    <cfRule type="expression" dxfId="3" priority="2">
      <formula>$O2="Yes"</formula>
    </cfRule>
  </conditionalFormatting>
  <conditionalFormatting sqref="L2:L141">
    <cfRule type="expression" dxfId="2" priority="3">
      <formula>$L2="Blocked"</formula>
    </cfRule>
  </conditionalFormatting>
  <conditionalFormatting sqref="L2:L141">
    <cfRule type="expression" dxfId="1" priority="4">
      <formula>$L2="Completed"</formula>
    </cfRule>
  </conditionalFormatting>
  <dataValidations count="2">
    <dataValidation type="list" allowBlank="1" showInputMessage="1" showErrorMessage="1" sqref="L2:L141" xr:uid="{F19C07A1-37B1-4978-AB82-5BCDBC4F4438}">
      <formula1>"Not Started,In Progress,Blocked,Completed,On Hold"</formula1>
    </dataValidation>
    <dataValidation type="decimal" allowBlank="1" showInputMessage="1" showErrorMessage="1" sqref="M2:M141" xr:uid="{6A396C5C-EB9A-40AB-9E08-C2BFBD7FA4FC}">
      <formula1>0</formula1>
      <formula2>1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582889-FB5C-49C6-9693-50DD6F969E00}">
            <x14:dataBar minLength="0" maxLength="100" negativeBarColorSameAsPositive="1" axisPosition="none">
              <x14:cfvo type="min"/>
              <x14:cfvo type="max"/>
            </x14:dataBar>
          </x14:cfRule>
          <xm:sqref>M2:M141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5ABD-315E-4BBE-8C7E-3391659685A2}">
  <dimension ref="A1:H28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29.6640625" customWidth="1"/>
    <col min="2" max="2" width="18.5546875" customWidth="1"/>
    <col min="3" max="3" width="55.5546875" customWidth="1"/>
    <col min="4" max="4" width="35.21875" customWidth="1"/>
    <col min="5" max="5" width="19.44140625" customWidth="1"/>
  </cols>
  <sheetData>
    <row r="1" spans="1:8" ht="31.95" customHeight="1" x14ac:dyDescent="0.3">
      <c r="A1" s="7" t="s">
        <v>792</v>
      </c>
      <c r="B1" s="7"/>
      <c r="C1" s="7"/>
      <c r="D1" s="7"/>
      <c r="E1" s="7"/>
      <c r="F1" s="7"/>
      <c r="G1" s="7"/>
      <c r="H1" s="7"/>
    </row>
    <row r="2" spans="1:8" x14ac:dyDescent="0.3">
      <c r="A2" s="8" t="s">
        <v>793</v>
      </c>
      <c r="B2" s="8"/>
      <c r="C2" s="8"/>
      <c r="D2" s="8"/>
      <c r="E2" s="8"/>
      <c r="F2" s="8"/>
      <c r="G2" s="8"/>
      <c r="H2" s="8"/>
    </row>
    <row r="3" spans="1:8" x14ac:dyDescent="0.3">
      <c r="A3" s="6"/>
      <c r="B3" s="6"/>
      <c r="C3" s="6"/>
      <c r="D3" s="6"/>
      <c r="E3" s="6"/>
      <c r="F3" s="6"/>
      <c r="G3" s="6"/>
      <c r="H3" s="6"/>
    </row>
    <row r="4" spans="1:8" x14ac:dyDescent="0.3">
      <c r="A4" s="9" t="s">
        <v>794</v>
      </c>
      <c r="B4" s="9" t="s">
        <v>795</v>
      </c>
      <c r="C4" s="6"/>
      <c r="D4" s="9" t="s">
        <v>799</v>
      </c>
      <c r="E4" s="9" t="s">
        <v>795</v>
      </c>
      <c r="F4" s="6"/>
      <c r="G4" s="6"/>
      <c r="H4" s="6"/>
    </row>
    <row r="5" spans="1:8" x14ac:dyDescent="0.3">
      <c r="A5" s="6" t="s">
        <v>796</v>
      </c>
      <c r="B5" s="6">
        <f>ROWS(tblBrokerPortalPlan[WBS])</f>
        <v>140</v>
      </c>
      <c r="C5" s="6"/>
      <c r="D5" s="6" t="s">
        <v>800</v>
      </c>
      <c r="E5" s="13">
        <f>MIN(tblBrokerPortalPlan[Start Date])</f>
        <v>46296</v>
      </c>
      <c r="F5" s="6"/>
      <c r="G5" s="6"/>
      <c r="H5" s="6"/>
    </row>
    <row r="6" spans="1:8" x14ac:dyDescent="0.3">
      <c r="A6" s="6" t="s">
        <v>797</v>
      </c>
      <c r="B6" s="6">
        <f>ROWS(tblRequirementTraceability[Requirement ID])</f>
        <v>68</v>
      </c>
      <c r="C6" s="6"/>
      <c r="D6" s="6" t="s">
        <v>801</v>
      </c>
      <c r="E6" s="13">
        <f>_xlfn.MAXIFS(tblBrokerPortalPlan[End Date],tblBrokerPortalPlan[WBS],"8.16")</f>
        <v>46566</v>
      </c>
      <c r="F6" s="6"/>
      <c r="G6" s="6"/>
      <c r="H6" s="6"/>
    </row>
    <row r="7" spans="1:8" x14ac:dyDescent="0.3">
      <c r="A7" s="6" t="s">
        <v>824</v>
      </c>
      <c r="B7" s="6">
        <f>COUNTIF(tblBrokerPortalPlan[Milestone],"Yes")</f>
        <v>11</v>
      </c>
      <c r="C7" s="6"/>
      <c r="D7" s="6" t="s">
        <v>802</v>
      </c>
      <c r="E7" s="13">
        <f>MAX(tblBrokerPortalPlan[End Date])</f>
        <v>46584</v>
      </c>
      <c r="F7" s="6"/>
      <c r="G7" s="6"/>
      <c r="H7" s="6"/>
    </row>
    <row r="8" spans="1:8" x14ac:dyDescent="0.3">
      <c r="A8" s="6" t="s">
        <v>798</v>
      </c>
      <c r="B8" s="6">
        <f>COUNTIF(tblRAID[Status],"Open")+COUNTIF(tblRAID[Status],"Due")</f>
        <v>18</v>
      </c>
      <c r="C8" s="6"/>
      <c r="D8" s="6" t="s">
        <v>803</v>
      </c>
      <c r="E8" s="14">
        <f>SUMPRODUCT(tblBrokerPortalPlan[% Complete],tblBrokerPortalPlan[Workdays])/SUM(tblBrokerPortalPlan[Workdays])</f>
        <v>0</v>
      </c>
      <c r="F8" s="6"/>
      <c r="G8" s="6"/>
      <c r="H8" s="6"/>
    </row>
    <row r="9" spans="1:8" x14ac:dyDescent="0.3">
      <c r="A9" s="6"/>
      <c r="B9" s="6"/>
      <c r="C9" s="6"/>
      <c r="D9" s="6"/>
      <c r="E9" s="6"/>
      <c r="F9" s="6"/>
      <c r="G9" s="6"/>
      <c r="H9" s="6"/>
    </row>
    <row r="10" spans="1:8" x14ac:dyDescent="0.3">
      <c r="A10" s="9" t="s">
        <v>804</v>
      </c>
      <c r="B10" s="9" t="s">
        <v>805</v>
      </c>
      <c r="C10" s="9" t="s">
        <v>806</v>
      </c>
      <c r="D10" s="9" t="s">
        <v>807</v>
      </c>
      <c r="E10" s="6"/>
      <c r="F10" s="6"/>
      <c r="G10" s="6"/>
      <c r="H10" s="6"/>
    </row>
    <row r="11" spans="1:8" x14ac:dyDescent="0.3">
      <c r="A11" s="6" t="s">
        <v>30</v>
      </c>
      <c r="B11" s="13">
        <v>46316</v>
      </c>
      <c r="C11" s="6" t="s">
        <v>808</v>
      </c>
      <c r="D11" s="6" t="s">
        <v>16</v>
      </c>
      <c r="E11" s="6"/>
      <c r="F11" s="6"/>
      <c r="G11" s="6"/>
      <c r="H11" s="6"/>
    </row>
    <row r="12" spans="1:8" x14ac:dyDescent="0.3">
      <c r="A12" s="6" t="s">
        <v>83</v>
      </c>
      <c r="B12" s="13">
        <v>46342</v>
      </c>
      <c r="C12" s="6" t="s">
        <v>809</v>
      </c>
      <c r="D12" s="6" t="s">
        <v>134</v>
      </c>
      <c r="E12" s="6"/>
      <c r="F12" s="6"/>
      <c r="G12" s="6"/>
      <c r="H12" s="6"/>
    </row>
    <row r="13" spans="1:8" x14ac:dyDescent="0.3">
      <c r="A13" s="6" t="s">
        <v>142</v>
      </c>
      <c r="B13" s="13">
        <v>46398</v>
      </c>
      <c r="C13" s="6" t="s">
        <v>810</v>
      </c>
      <c r="D13" s="6" t="s">
        <v>190</v>
      </c>
      <c r="E13" s="6"/>
      <c r="F13" s="6"/>
      <c r="G13" s="6"/>
      <c r="H13" s="6"/>
    </row>
    <row r="14" spans="1:8" x14ac:dyDescent="0.3">
      <c r="A14" s="6" t="s">
        <v>198</v>
      </c>
      <c r="B14" s="13">
        <v>46412</v>
      </c>
      <c r="C14" s="6" t="s">
        <v>811</v>
      </c>
      <c r="D14" s="6" t="s">
        <v>195</v>
      </c>
      <c r="E14" s="6"/>
      <c r="F14" s="6"/>
      <c r="G14" s="6"/>
      <c r="H14" s="6"/>
    </row>
    <row r="15" spans="1:8" x14ac:dyDescent="0.3">
      <c r="A15" s="6" t="s">
        <v>241</v>
      </c>
      <c r="B15" s="13">
        <v>46454</v>
      </c>
      <c r="C15" s="6" t="s">
        <v>812</v>
      </c>
      <c r="D15" s="6" t="s">
        <v>290</v>
      </c>
      <c r="E15" s="6"/>
      <c r="F15" s="6"/>
      <c r="G15" s="6"/>
      <c r="H15" s="6"/>
    </row>
    <row r="16" spans="1:8" x14ac:dyDescent="0.3">
      <c r="A16" s="6" t="s">
        <v>296</v>
      </c>
      <c r="B16" s="13">
        <v>46468</v>
      </c>
      <c r="C16" s="6" t="s">
        <v>813</v>
      </c>
      <c r="D16" s="6" t="s">
        <v>362</v>
      </c>
      <c r="E16" s="6"/>
      <c r="F16" s="6"/>
      <c r="G16" s="6"/>
      <c r="H16" s="6"/>
    </row>
    <row r="17" spans="1:8" x14ac:dyDescent="0.3">
      <c r="A17" s="6" t="s">
        <v>368</v>
      </c>
      <c r="B17" s="13">
        <v>46517</v>
      </c>
      <c r="C17" s="6" t="s">
        <v>814</v>
      </c>
      <c r="D17" s="6" t="s">
        <v>448</v>
      </c>
      <c r="E17" s="6"/>
      <c r="F17" s="6"/>
      <c r="G17" s="6"/>
      <c r="H17" s="6"/>
    </row>
    <row r="18" spans="1:8" x14ac:dyDescent="0.3">
      <c r="A18" s="6" t="s">
        <v>454</v>
      </c>
      <c r="B18" s="13">
        <v>46503</v>
      </c>
      <c r="C18" s="6" t="s">
        <v>815</v>
      </c>
      <c r="D18" s="6" t="s">
        <v>495</v>
      </c>
      <c r="E18" s="6"/>
      <c r="F18" s="6"/>
      <c r="G18" s="6"/>
      <c r="H18" s="6"/>
    </row>
    <row r="19" spans="1:8" x14ac:dyDescent="0.3">
      <c r="A19" s="6" t="s">
        <v>502</v>
      </c>
      <c r="B19" s="13">
        <v>46566</v>
      </c>
      <c r="C19" s="6" t="s">
        <v>801</v>
      </c>
      <c r="D19" s="6" t="s">
        <v>16</v>
      </c>
      <c r="E19" s="6"/>
      <c r="F19" s="6"/>
      <c r="G19" s="6"/>
      <c r="H19" s="6"/>
    </row>
    <row r="20" spans="1:8" x14ac:dyDescent="0.3">
      <c r="A20" s="6" t="s">
        <v>557</v>
      </c>
      <c r="B20" s="13">
        <v>46584</v>
      </c>
      <c r="C20" s="6" t="s">
        <v>816</v>
      </c>
      <c r="D20" s="6" t="s">
        <v>576</v>
      </c>
      <c r="E20" s="6"/>
      <c r="F20" s="6"/>
      <c r="G20" s="6"/>
      <c r="H20" s="6"/>
    </row>
    <row r="21" spans="1:8" x14ac:dyDescent="0.3">
      <c r="A21" s="6"/>
      <c r="B21" s="6"/>
      <c r="C21" s="6"/>
      <c r="D21" s="6"/>
      <c r="E21" s="6"/>
      <c r="F21" s="6"/>
      <c r="G21" s="6"/>
      <c r="H21" s="6"/>
    </row>
    <row r="22" spans="1:8" x14ac:dyDescent="0.3">
      <c r="A22" s="10" t="s">
        <v>817</v>
      </c>
      <c r="B22" s="10"/>
      <c r="C22" s="10"/>
      <c r="D22" s="10"/>
      <c r="E22" s="10"/>
      <c r="F22" s="10"/>
      <c r="G22" s="10"/>
      <c r="H22" s="10"/>
    </row>
    <row r="23" spans="1:8" x14ac:dyDescent="0.3">
      <c r="A23" s="11" t="s">
        <v>818</v>
      </c>
      <c r="B23" s="11"/>
      <c r="C23" s="11"/>
      <c r="D23" s="11"/>
      <c r="E23" s="11"/>
      <c r="F23" s="11"/>
      <c r="G23" s="11"/>
      <c r="H23" s="11"/>
    </row>
    <row r="24" spans="1:8" x14ac:dyDescent="0.3">
      <c r="A24" s="11" t="s">
        <v>819</v>
      </c>
      <c r="B24" s="11"/>
      <c r="C24" s="11"/>
      <c r="D24" s="11"/>
      <c r="E24" s="11"/>
      <c r="F24" s="11"/>
      <c r="G24" s="11"/>
      <c r="H24" s="11"/>
    </row>
    <row r="25" spans="1:8" x14ac:dyDescent="0.3">
      <c r="A25" s="12" t="s">
        <v>820</v>
      </c>
      <c r="B25" s="12"/>
      <c r="C25" s="12"/>
      <c r="D25" s="12"/>
      <c r="E25" s="12"/>
      <c r="F25" s="12"/>
      <c r="G25" s="12"/>
      <c r="H25" s="12"/>
    </row>
    <row r="26" spans="1:8" x14ac:dyDescent="0.3">
      <c r="A26" s="12" t="s">
        <v>821</v>
      </c>
      <c r="B26" s="12"/>
      <c r="C26" s="12"/>
      <c r="D26" s="12"/>
      <c r="E26" s="12"/>
      <c r="F26" s="12"/>
      <c r="G26" s="12"/>
      <c r="H26" s="12"/>
    </row>
    <row r="27" spans="1:8" x14ac:dyDescent="0.3">
      <c r="A27" s="12" t="s">
        <v>822</v>
      </c>
      <c r="B27" s="12"/>
      <c r="C27" s="12"/>
      <c r="D27" s="12"/>
      <c r="E27" s="12"/>
      <c r="F27" s="12"/>
      <c r="G27" s="12"/>
      <c r="H27" s="12"/>
    </row>
    <row r="28" spans="1:8" x14ac:dyDescent="0.3">
      <c r="A28" s="12" t="s">
        <v>823</v>
      </c>
      <c r="B28" s="12"/>
      <c r="C28" s="12"/>
      <c r="D28" s="12"/>
      <c r="E28" s="12"/>
      <c r="F28" s="12"/>
      <c r="G28" s="12"/>
      <c r="H28" s="12"/>
    </row>
  </sheetData>
  <mergeCells count="9">
    <mergeCell ref="A26:H26"/>
    <mergeCell ref="A27:H27"/>
    <mergeCell ref="A28:H28"/>
    <mergeCell ref="A1:H1"/>
    <mergeCell ref="A2:H2"/>
    <mergeCell ref="A22:H22"/>
    <mergeCell ref="A23:H23"/>
    <mergeCell ref="A24:H24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BDC6-6F96-48DB-9BA7-149D785EE6A5}">
  <dimension ref="A1:H69"/>
  <sheetViews>
    <sheetView workbookViewId="0">
      <pane ySplit="1" topLeftCell="A54" activePane="bottomLeft" state="frozen"/>
      <selection pane="bottomLeft" sqref="A1:XFD1048576"/>
    </sheetView>
  </sheetViews>
  <sheetFormatPr defaultRowHeight="14.4" x14ac:dyDescent="0.3"/>
  <cols>
    <col min="1" max="1" width="16.6640625" bestFit="1" customWidth="1"/>
    <col min="2" max="2" width="16.33203125" bestFit="1" customWidth="1"/>
    <col min="3" max="3" width="55.5546875" customWidth="1"/>
    <col min="4" max="4" width="14.6640625" bestFit="1" customWidth="1"/>
    <col min="5" max="5" width="44.44140625" customWidth="1"/>
    <col min="6" max="6" width="20.33203125" bestFit="1" customWidth="1"/>
    <col min="7" max="7" width="8.77734375" bestFit="1" customWidth="1"/>
    <col min="8" max="8" width="14.33203125" customWidth="1"/>
  </cols>
  <sheetData>
    <row r="1" spans="1:8" ht="30" customHeight="1" x14ac:dyDescent="0.3">
      <c r="A1" s="1" t="s">
        <v>578</v>
      </c>
      <c r="B1" s="1" t="s">
        <v>579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6</v>
      </c>
      <c r="H1" s="1" t="s">
        <v>584</v>
      </c>
    </row>
    <row r="2" spans="1:8" ht="27.6" x14ac:dyDescent="0.3">
      <c r="A2" s="1" t="s">
        <v>585</v>
      </c>
      <c r="B2" s="1" t="s">
        <v>586</v>
      </c>
      <c r="C2" s="5" t="s">
        <v>587</v>
      </c>
      <c r="D2" s="1" t="s">
        <v>588</v>
      </c>
      <c r="E2" s="5" t="s">
        <v>589</v>
      </c>
      <c r="F2" s="1" t="s">
        <v>590</v>
      </c>
      <c r="G2" s="1" t="s">
        <v>591</v>
      </c>
      <c r="H2" s="1" t="s">
        <v>142</v>
      </c>
    </row>
    <row r="3" spans="1:8" ht="27.6" x14ac:dyDescent="0.3">
      <c r="A3" s="1" t="s">
        <v>592</v>
      </c>
      <c r="B3" s="1" t="s">
        <v>586</v>
      </c>
      <c r="C3" s="5" t="s">
        <v>593</v>
      </c>
      <c r="D3" s="1" t="s">
        <v>588</v>
      </c>
      <c r="E3" s="5" t="s">
        <v>589</v>
      </c>
      <c r="F3" s="1" t="s">
        <v>590</v>
      </c>
      <c r="G3" s="1" t="s">
        <v>591</v>
      </c>
      <c r="H3" s="1" t="s">
        <v>142</v>
      </c>
    </row>
    <row r="4" spans="1:8" ht="27.6" x14ac:dyDescent="0.3">
      <c r="A4" s="1" t="s">
        <v>594</v>
      </c>
      <c r="B4" s="1" t="s">
        <v>586</v>
      </c>
      <c r="C4" s="5" t="s">
        <v>595</v>
      </c>
      <c r="D4" s="1" t="s">
        <v>588</v>
      </c>
      <c r="E4" s="5" t="s">
        <v>589</v>
      </c>
      <c r="F4" s="1" t="s">
        <v>590</v>
      </c>
      <c r="G4" s="1" t="s">
        <v>591</v>
      </c>
      <c r="H4" s="1" t="s">
        <v>142</v>
      </c>
    </row>
    <row r="5" spans="1:8" ht="27.6" x14ac:dyDescent="0.3">
      <c r="A5" s="1" t="s">
        <v>596</v>
      </c>
      <c r="B5" s="1" t="s">
        <v>586</v>
      </c>
      <c r="C5" s="5" t="s">
        <v>597</v>
      </c>
      <c r="D5" s="1" t="s">
        <v>588</v>
      </c>
      <c r="E5" s="5" t="s">
        <v>589</v>
      </c>
      <c r="F5" s="1" t="s">
        <v>590</v>
      </c>
      <c r="G5" s="1" t="s">
        <v>591</v>
      </c>
      <c r="H5" s="1" t="s">
        <v>142</v>
      </c>
    </row>
    <row r="6" spans="1:8" ht="27.6" x14ac:dyDescent="0.3">
      <c r="A6" s="1" t="s">
        <v>157</v>
      </c>
      <c r="B6" s="1" t="s">
        <v>586</v>
      </c>
      <c r="C6" s="5" t="s">
        <v>598</v>
      </c>
      <c r="D6" s="1" t="s">
        <v>588</v>
      </c>
      <c r="E6" s="5" t="s">
        <v>589</v>
      </c>
      <c r="F6" s="1" t="s">
        <v>590</v>
      </c>
      <c r="G6" s="1" t="s">
        <v>591</v>
      </c>
      <c r="H6" s="1" t="s">
        <v>142</v>
      </c>
    </row>
    <row r="7" spans="1:8" ht="27.6" x14ac:dyDescent="0.3">
      <c r="A7" s="1" t="s">
        <v>161</v>
      </c>
      <c r="B7" s="1" t="s">
        <v>586</v>
      </c>
      <c r="C7" s="5" t="s">
        <v>599</v>
      </c>
      <c r="D7" s="1" t="s">
        <v>588</v>
      </c>
      <c r="E7" s="5" t="s">
        <v>589</v>
      </c>
      <c r="F7" s="1" t="s">
        <v>590</v>
      </c>
      <c r="G7" s="1" t="s">
        <v>591</v>
      </c>
      <c r="H7" s="1" t="s">
        <v>142</v>
      </c>
    </row>
    <row r="8" spans="1:8" ht="27.6" x14ac:dyDescent="0.3">
      <c r="A8" s="1" t="s">
        <v>600</v>
      </c>
      <c r="B8" s="1" t="s">
        <v>586</v>
      </c>
      <c r="C8" s="5" t="s">
        <v>601</v>
      </c>
      <c r="D8" s="1" t="s">
        <v>588</v>
      </c>
      <c r="E8" s="5" t="s">
        <v>589</v>
      </c>
      <c r="F8" s="1" t="s">
        <v>590</v>
      </c>
      <c r="G8" s="1" t="s">
        <v>591</v>
      </c>
      <c r="H8" s="1" t="s">
        <v>142</v>
      </c>
    </row>
    <row r="9" spans="1:8" ht="27.6" x14ac:dyDescent="0.3">
      <c r="A9" s="1" t="s">
        <v>174</v>
      </c>
      <c r="B9" s="1" t="s">
        <v>586</v>
      </c>
      <c r="C9" s="5" t="s">
        <v>602</v>
      </c>
      <c r="D9" s="1" t="s">
        <v>588</v>
      </c>
      <c r="E9" s="5" t="s">
        <v>589</v>
      </c>
      <c r="F9" s="1" t="s">
        <v>590</v>
      </c>
      <c r="G9" s="1" t="s">
        <v>591</v>
      </c>
      <c r="H9" s="1" t="s">
        <v>142</v>
      </c>
    </row>
    <row r="10" spans="1:8" ht="27.6" x14ac:dyDescent="0.3">
      <c r="A10" s="1" t="s">
        <v>177</v>
      </c>
      <c r="B10" s="1" t="s">
        <v>586</v>
      </c>
      <c r="C10" s="5" t="s">
        <v>603</v>
      </c>
      <c r="D10" s="1" t="s">
        <v>588</v>
      </c>
      <c r="E10" s="5" t="s">
        <v>589</v>
      </c>
      <c r="F10" s="1" t="s">
        <v>590</v>
      </c>
      <c r="G10" s="1" t="s">
        <v>591</v>
      </c>
      <c r="H10" s="1" t="s">
        <v>142</v>
      </c>
    </row>
    <row r="11" spans="1:8" ht="27.6" x14ac:dyDescent="0.3">
      <c r="A11" s="1" t="s">
        <v>604</v>
      </c>
      <c r="B11" s="1" t="s">
        <v>586</v>
      </c>
      <c r="C11" s="5" t="s">
        <v>605</v>
      </c>
      <c r="D11" s="1" t="s">
        <v>588</v>
      </c>
      <c r="E11" s="5" t="s">
        <v>589</v>
      </c>
      <c r="F11" s="1" t="s">
        <v>590</v>
      </c>
      <c r="G11" s="1" t="s">
        <v>591</v>
      </c>
      <c r="H11" s="1" t="s">
        <v>142</v>
      </c>
    </row>
    <row r="12" spans="1:8" ht="27.6" x14ac:dyDescent="0.3">
      <c r="A12" s="1" t="s">
        <v>211</v>
      </c>
      <c r="B12" s="1" t="s">
        <v>606</v>
      </c>
      <c r="C12" s="5" t="s">
        <v>607</v>
      </c>
      <c r="D12" s="1" t="s">
        <v>608</v>
      </c>
      <c r="E12" s="5" t="s">
        <v>609</v>
      </c>
      <c r="F12" s="1" t="s">
        <v>610</v>
      </c>
      <c r="G12" s="1" t="s">
        <v>591</v>
      </c>
      <c r="H12" s="1" t="s">
        <v>241</v>
      </c>
    </row>
    <row r="13" spans="1:8" ht="27.6" x14ac:dyDescent="0.3">
      <c r="A13" s="1" t="s">
        <v>611</v>
      </c>
      <c r="B13" s="1" t="s">
        <v>606</v>
      </c>
      <c r="C13" s="5" t="s">
        <v>612</v>
      </c>
      <c r="D13" s="1" t="s">
        <v>608</v>
      </c>
      <c r="E13" s="5" t="s">
        <v>609</v>
      </c>
      <c r="F13" s="1" t="s">
        <v>610</v>
      </c>
      <c r="G13" s="1" t="s">
        <v>591</v>
      </c>
      <c r="H13" s="1" t="s">
        <v>241</v>
      </c>
    </row>
    <row r="14" spans="1:8" ht="27.6" x14ac:dyDescent="0.3">
      <c r="A14" s="1" t="s">
        <v>613</v>
      </c>
      <c r="B14" s="1" t="s">
        <v>606</v>
      </c>
      <c r="C14" s="5" t="s">
        <v>614</v>
      </c>
      <c r="D14" s="1" t="s">
        <v>608</v>
      </c>
      <c r="E14" s="5" t="s">
        <v>609</v>
      </c>
      <c r="F14" s="1" t="s">
        <v>610</v>
      </c>
      <c r="G14" s="1" t="s">
        <v>591</v>
      </c>
      <c r="H14" s="1" t="s">
        <v>241</v>
      </c>
    </row>
    <row r="15" spans="1:8" ht="27.6" x14ac:dyDescent="0.3">
      <c r="A15" s="1" t="s">
        <v>615</v>
      </c>
      <c r="B15" s="1" t="s">
        <v>606</v>
      </c>
      <c r="C15" s="5" t="s">
        <v>616</v>
      </c>
      <c r="D15" s="1" t="s">
        <v>608</v>
      </c>
      <c r="E15" s="5" t="s">
        <v>609</v>
      </c>
      <c r="F15" s="1" t="s">
        <v>610</v>
      </c>
      <c r="G15" s="1" t="s">
        <v>591</v>
      </c>
      <c r="H15" s="1" t="s">
        <v>241</v>
      </c>
    </row>
    <row r="16" spans="1:8" ht="27.6" x14ac:dyDescent="0.3">
      <c r="A16" s="1" t="s">
        <v>252</v>
      </c>
      <c r="B16" s="1" t="s">
        <v>606</v>
      </c>
      <c r="C16" s="5" t="s">
        <v>617</v>
      </c>
      <c r="D16" s="1" t="s">
        <v>608</v>
      </c>
      <c r="E16" s="5" t="s">
        <v>609</v>
      </c>
      <c r="F16" s="1" t="s">
        <v>610</v>
      </c>
      <c r="G16" s="1" t="s">
        <v>591</v>
      </c>
      <c r="H16" s="1" t="s">
        <v>241</v>
      </c>
    </row>
    <row r="17" spans="1:8" ht="27.6" x14ac:dyDescent="0.3">
      <c r="A17" s="1" t="s">
        <v>618</v>
      </c>
      <c r="B17" s="1" t="s">
        <v>606</v>
      </c>
      <c r="C17" s="5" t="s">
        <v>619</v>
      </c>
      <c r="D17" s="1" t="s">
        <v>608</v>
      </c>
      <c r="E17" s="5" t="s">
        <v>609</v>
      </c>
      <c r="F17" s="1" t="s">
        <v>610</v>
      </c>
      <c r="G17" s="1" t="s">
        <v>591</v>
      </c>
      <c r="H17" s="1" t="s">
        <v>241</v>
      </c>
    </row>
    <row r="18" spans="1:8" ht="27.6" x14ac:dyDescent="0.3">
      <c r="A18" s="1" t="s">
        <v>620</v>
      </c>
      <c r="B18" s="1" t="s">
        <v>606</v>
      </c>
      <c r="C18" s="5" t="s">
        <v>621</v>
      </c>
      <c r="D18" s="1" t="s">
        <v>608</v>
      </c>
      <c r="E18" s="5" t="s">
        <v>609</v>
      </c>
      <c r="F18" s="1" t="s">
        <v>610</v>
      </c>
      <c r="G18" s="1" t="s">
        <v>591</v>
      </c>
      <c r="H18" s="1" t="s">
        <v>241</v>
      </c>
    </row>
    <row r="19" spans="1:8" ht="27.6" x14ac:dyDescent="0.3">
      <c r="A19" s="1" t="s">
        <v>622</v>
      </c>
      <c r="B19" s="1" t="s">
        <v>606</v>
      </c>
      <c r="C19" s="5" t="s">
        <v>623</v>
      </c>
      <c r="D19" s="1" t="s">
        <v>608</v>
      </c>
      <c r="E19" s="5" t="s">
        <v>609</v>
      </c>
      <c r="F19" s="1" t="s">
        <v>610</v>
      </c>
      <c r="G19" s="1" t="s">
        <v>591</v>
      </c>
      <c r="H19" s="1" t="s">
        <v>241</v>
      </c>
    </row>
    <row r="20" spans="1:8" ht="27.6" x14ac:dyDescent="0.3">
      <c r="A20" s="1" t="s">
        <v>624</v>
      </c>
      <c r="B20" s="1" t="s">
        <v>606</v>
      </c>
      <c r="C20" s="5" t="s">
        <v>625</v>
      </c>
      <c r="D20" s="1" t="s">
        <v>608</v>
      </c>
      <c r="E20" s="5" t="s">
        <v>609</v>
      </c>
      <c r="F20" s="1" t="s">
        <v>610</v>
      </c>
      <c r="G20" s="1" t="s">
        <v>591</v>
      </c>
      <c r="H20" s="1" t="s">
        <v>241</v>
      </c>
    </row>
    <row r="21" spans="1:8" ht="27.6" x14ac:dyDescent="0.3">
      <c r="A21" s="1" t="s">
        <v>263</v>
      </c>
      <c r="B21" s="1" t="s">
        <v>606</v>
      </c>
      <c r="C21" s="5" t="s">
        <v>626</v>
      </c>
      <c r="D21" s="1" t="s">
        <v>608</v>
      </c>
      <c r="E21" s="5" t="s">
        <v>609</v>
      </c>
      <c r="F21" s="1" t="s">
        <v>610</v>
      </c>
      <c r="G21" s="1" t="s">
        <v>591</v>
      </c>
      <c r="H21" s="1" t="s">
        <v>241</v>
      </c>
    </row>
    <row r="22" spans="1:8" ht="27.6" x14ac:dyDescent="0.3">
      <c r="A22" s="1" t="s">
        <v>627</v>
      </c>
      <c r="B22" s="1" t="s">
        <v>606</v>
      </c>
      <c r="C22" s="5" t="s">
        <v>628</v>
      </c>
      <c r="D22" s="1" t="s">
        <v>608</v>
      </c>
      <c r="E22" s="5" t="s">
        <v>609</v>
      </c>
      <c r="F22" s="1" t="s">
        <v>610</v>
      </c>
      <c r="G22" s="1" t="s">
        <v>591</v>
      </c>
      <c r="H22" s="1" t="s">
        <v>241</v>
      </c>
    </row>
    <row r="23" spans="1:8" ht="27.6" x14ac:dyDescent="0.3">
      <c r="A23" s="1" t="s">
        <v>629</v>
      </c>
      <c r="B23" s="1" t="s">
        <v>606</v>
      </c>
      <c r="C23" s="5" t="s">
        <v>630</v>
      </c>
      <c r="D23" s="1" t="s">
        <v>608</v>
      </c>
      <c r="E23" s="5" t="s">
        <v>609</v>
      </c>
      <c r="F23" s="1" t="s">
        <v>610</v>
      </c>
      <c r="G23" s="1" t="s">
        <v>591</v>
      </c>
      <c r="H23" s="1" t="s">
        <v>241</v>
      </c>
    </row>
    <row r="24" spans="1:8" ht="27.6" x14ac:dyDescent="0.3">
      <c r="A24" s="1" t="s">
        <v>306</v>
      </c>
      <c r="B24" s="1" t="s">
        <v>631</v>
      </c>
      <c r="C24" s="5" t="s">
        <v>632</v>
      </c>
      <c r="D24" s="1" t="s">
        <v>633</v>
      </c>
      <c r="E24" s="5" t="s">
        <v>634</v>
      </c>
      <c r="F24" s="1" t="s">
        <v>635</v>
      </c>
      <c r="G24" s="1" t="s">
        <v>591</v>
      </c>
      <c r="H24" s="1" t="s">
        <v>296</v>
      </c>
    </row>
    <row r="25" spans="1:8" ht="27.6" x14ac:dyDescent="0.3">
      <c r="A25" s="1" t="s">
        <v>636</v>
      </c>
      <c r="B25" s="1" t="s">
        <v>631</v>
      </c>
      <c r="C25" s="5" t="s">
        <v>637</v>
      </c>
      <c r="D25" s="1" t="s">
        <v>633</v>
      </c>
      <c r="E25" s="5" t="s">
        <v>634</v>
      </c>
      <c r="F25" s="1" t="s">
        <v>635</v>
      </c>
      <c r="G25" s="1" t="s">
        <v>591</v>
      </c>
      <c r="H25" s="1" t="s">
        <v>296</v>
      </c>
    </row>
    <row r="26" spans="1:8" ht="27.6" x14ac:dyDescent="0.3">
      <c r="A26" s="1" t="s">
        <v>638</v>
      </c>
      <c r="B26" s="1" t="s">
        <v>631</v>
      </c>
      <c r="C26" s="5" t="s">
        <v>639</v>
      </c>
      <c r="D26" s="1" t="s">
        <v>633</v>
      </c>
      <c r="E26" s="5" t="s">
        <v>634</v>
      </c>
      <c r="F26" s="1" t="s">
        <v>635</v>
      </c>
      <c r="G26" s="1" t="s">
        <v>591</v>
      </c>
      <c r="H26" s="1" t="s">
        <v>296</v>
      </c>
    </row>
    <row r="27" spans="1:8" ht="27.6" x14ac:dyDescent="0.3">
      <c r="A27" s="1" t="s">
        <v>640</v>
      </c>
      <c r="B27" s="1" t="s">
        <v>631</v>
      </c>
      <c r="C27" s="5" t="s">
        <v>641</v>
      </c>
      <c r="D27" s="1" t="s">
        <v>633</v>
      </c>
      <c r="E27" s="5" t="s">
        <v>634</v>
      </c>
      <c r="F27" s="1" t="s">
        <v>635</v>
      </c>
      <c r="G27" s="1" t="s">
        <v>591</v>
      </c>
      <c r="H27" s="1" t="s">
        <v>296</v>
      </c>
    </row>
    <row r="28" spans="1:8" ht="27.6" x14ac:dyDescent="0.3">
      <c r="A28" s="1" t="s">
        <v>642</v>
      </c>
      <c r="B28" s="1" t="s">
        <v>631</v>
      </c>
      <c r="C28" s="5" t="s">
        <v>643</v>
      </c>
      <c r="D28" s="1" t="s">
        <v>633</v>
      </c>
      <c r="E28" s="5" t="s">
        <v>634</v>
      </c>
      <c r="F28" s="1" t="s">
        <v>635</v>
      </c>
      <c r="G28" s="1" t="s">
        <v>591</v>
      </c>
      <c r="H28" s="1" t="s">
        <v>296</v>
      </c>
    </row>
    <row r="29" spans="1:8" ht="27.6" x14ac:dyDescent="0.3">
      <c r="A29" s="1" t="s">
        <v>644</v>
      </c>
      <c r="B29" s="1" t="s">
        <v>631</v>
      </c>
      <c r="C29" s="5" t="s">
        <v>645</v>
      </c>
      <c r="D29" s="1" t="s">
        <v>633</v>
      </c>
      <c r="E29" s="5" t="s">
        <v>634</v>
      </c>
      <c r="F29" s="1" t="s">
        <v>635</v>
      </c>
      <c r="G29" s="1" t="s">
        <v>591</v>
      </c>
      <c r="H29" s="1" t="s">
        <v>296</v>
      </c>
    </row>
    <row r="30" spans="1:8" ht="27.6" x14ac:dyDescent="0.3">
      <c r="A30" s="1" t="s">
        <v>646</v>
      </c>
      <c r="B30" s="1" t="s">
        <v>631</v>
      </c>
      <c r="C30" s="5" t="s">
        <v>647</v>
      </c>
      <c r="D30" s="1" t="s">
        <v>633</v>
      </c>
      <c r="E30" s="5" t="s">
        <v>634</v>
      </c>
      <c r="F30" s="1" t="s">
        <v>635</v>
      </c>
      <c r="G30" s="1" t="s">
        <v>591</v>
      </c>
      <c r="H30" s="1" t="s">
        <v>296</v>
      </c>
    </row>
    <row r="31" spans="1:8" ht="27.6" x14ac:dyDescent="0.3">
      <c r="A31" s="1" t="s">
        <v>648</v>
      </c>
      <c r="B31" s="1" t="s">
        <v>631</v>
      </c>
      <c r="C31" s="5" t="s">
        <v>649</v>
      </c>
      <c r="D31" s="1" t="s">
        <v>633</v>
      </c>
      <c r="E31" s="5" t="s">
        <v>634</v>
      </c>
      <c r="F31" s="1" t="s">
        <v>635</v>
      </c>
      <c r="G31" s="1" t="s">
        <v>591</v>
      </c>
      <c r="H31" s="1" t="s">
        <v>296</v>
      </c>
    </row>
    <row r="32" spans="1:8" ht="27.6" x14ac:dyDescent="0.3">
      <c r="A32" s="1" t="s">
        <v>326</v>
      </c>
      <c r="B32" s="1" t="s">
        <v>631</v>
      </c>
      <c r="C32" s="5" t="s">
        <v>650</v>
      </c>
      <c r="D32" s="1" t="s">
        <v>633</v>
      </c>
      <c r="E32" s="5" t="s">
        <v>634</v>
      </c>
      <c r="F32" s="1" t="s">
        <v>635</v>
      </c>
      <c r="G32" s="1" t="s">
        <v>591</v>
      </c>
      <c r="H32" s="1" t="s">
        <v>296</v>
      </c>
    </row>
    <row r="33" spans="1:8" ht="27.6" x14ac:dyDescent="0.3">
      <c r="A33" s="1" t="s">
        <v>330</v>
      </c>
      <c r="B33" s="1" t="s">
        <v>631</v>
      </c>
      <c r="C33" s="5" t="s">
        <v>651</v>
      </c>
      <c r="D33" s="1" t="s">
        <v>633</v>
      </c>
      <c r="E33" s="5" t="s">
        <v>634</v>
      </c>
      <c r="F33" s="1" t="s">
        <v>635</v>
      </c>
      <c r="G33" s="1" t="s">
        <v>591</v>
      </c>
      <c r="H33" s="1" t="s">
        <v>296</v>
      </c>
    </row>
    <row r="34" spans="1:8" ht="27.6" x14ac:dyDescent="0.3">
      <c r="A34" s="1" t="s">
        <v>652</v>
      </c>
      <c r="B34" s="1" t="s">
        <v>631</v>
      </c>
      <c r="C34" s="5" t="s">
        <v>653</v>
      </c>
      <c r="D34" s="1" t="s">
        <v>633</v>
      </c>
      <c r="E34" s="5" t="s">
        <v>634</v>
      </c>
      <c r="F34" s="1" t="s">
        <v>635</v>
      </c>
      <c r="G34" s="1" t="s">
        <v>591</v>
      </c>
      <c r="H34" s="1" t="s">
        <v>296</v>
      </c>
    </row>
    <row r="35" spans="1:8" ht="27.6" x14ac:dyDescent="0.3">
      <c r="A35" s="1" t="s">
        <v>337</v>
      </c>
      <c r="B35" s="1" t="s">
        <v>631</v>
      </c>
      <c r="C35" s="5" t="s">
        <v>654</v>
      </c>
      <c r="D35" s="1" t="s">
        <v>633</v>
      </c>
      <c r="E35" s="5" t="s">
        <v>634</v>
      </c>
      <c r="F35" s="1" t="s">
        <v>635</v>
      </c>
      <c r="G35" s="1" t="s">
        <v>591</v>
      </c>
      <c r="H35" s="1" t="s">
        <v>296</v>
      </c>
    </row>
    <row r="36" spans="1:8" ht="27.6" x14ac:dyDescent="0.3">
      <c r="A36" s="1" t="s">
        <v>342</v>
      </c>
      <c r="B36" s="1" t="s">
        <v>631</v>
      </c>
      <c r="C36" s="5" t="s">
        <v>655</v>
      </c>
      <c r="D36" s="1" t="s">
        <v>633</v>
      </c>
      <c r="E36" s="5" t="s">
        <v>634</v>
      </c>
      <c r="F36" s="1" t="s">
        <v>635</v>
      </c>
      <c r="G36" s="1" t="s">
        <v>591</v>
      </c>
      <c r="H36" s="1" t="s">
        <v>296</v>
      </c>
    </row>
    <row r="37" spans="1:8" ht="27.6" x14ac:dyDescent="0.3">
      <c r="A37" s="1" t="s">
        <v>656</v>
      </c>
      <c r="B37" s="1" t="s">
        <v>631</v>
      </c>
      <c r="C37" s="5" t="s">
        <v>657</v>
      </c>
      <c r="D37" s="1" t="s">
        <v>633</v>
      </c>
      <c r="E37" s="5" t="s">
        <v>634</v>
      </c>
      <c r="F37" s="1" t="s">
        <v>635</v>
      </c>
      <c r="G37" s="1" t="s">
        <v>591</v>
      </c>
      <c r="H37" s="1" t="s">
        <v>296</v>
      </c>
    </row>
    <row r="38" spans="1:8" ht="27.6" x14ac:dyDescent="0.3">
      <c r="A38" s="1" t="s">
        <v>349</v>
      </c>
      <c r="B38" s="1" t="s">
        <v>631</v>
      </c>
      <c r="C38" s="5" t="s">
        <v>658</v>
      </c>
      <c r="D38" s="1" t="s">
        <v>633</v>
      </c>
      <c r="E38" s="5" t="s">
        <v>634</v>
      </c>
      <c r="F38" s="1" t="s">
        <v>635</v>
      </c>
      <c r="G38" s="1" t="s">
        <v>591</v>
      </c>
      <c r="H38" s="1" t="s">
        <v>296</v>
      </c>
    </row>
    <row r="39" spans="1:8" ht="27.6" x14ac:dyDescent="0.3">
      <c r="A39" s="1" t="s">
        <v>354</v>
      </c>
      <c r="B39" s="1" t="s">
        <v>631</v>
      </c>
      <c r="C39" s="5" t="s">
        <v>659</v>
      </c>
      <c r="D39" s="1" t="s">
        <v>633</v>
      </c>
      <c r="E39" s="5" t="s">
        <v>634</v>
      </c>
      <c r="F39" s="1" t="s">
        <v>635</v>
      </c>
      <c r="G39" s="1" t="s">
        <v>591</v>
      </c>
      <c r="H39" s="1" t="s">
        <v>296</v>
      </c>
    </row>
    <row r="40" spans="1:8" ht="27.6" x14ac:dyDescent="0.3">
      <c r="A40" s="1" t="s">
        <v>367</v>
      </c>
      <c r="B40" s="1" t="s">
        <v>660</v>
      </c>
      <c r="C40" s="5" t="s">
        <v>661</v>
      </c>
      <c r="D40" s="1" t="s">
        <v>662</v>
      </c>
      <c r="E40" s="5" t="s">
        <v>663</v>
      </c>
      <c r="F40" s="1" t="s">
        <v>664</v>
      </c>
      <c r="G40" s="1" t="s">
        <v>591</v>
      </c>
      <c r="H40" s="1" t="s">
        <v>368</v>
      </c>
    </row>
    <row r="41" spans="1:8" ht="27.6" x14ac:dyDescent="0.3">
      <c r="A41" s="1" t="s">
        <v>665</v>
      </c>
      <c r="B41" s="1" t="s">
        <v>660</v>
      </c>
      <c r="C41" s="5" t="s">
        <v>666</v>
      </c>
      <c r="D41" s="1" t="s">
        <v>662</v>
      </c>
      <c r="E41" s="5" t="s">
        <v>663</v>
      </c>
      <c r="F41" s="1" t="s">
        <v>664</v>
      </c>
      <c r="G41" s="1" t="s">
        <v>591</v>
      </c>
      <c r="H41" s="1" t="s">
        <v>368</v>
      </c>
    </row>
    <row r="42" spans="1:8" ht="27.6" x14ac:dyDescent="0.3">
      <c r="A42" s="1" t="s">
        <v>389</v>
      </c>
      <c r="B42" s="1" t="s">
        <v>660</v>
      </c>
      <c r="C42" s="5" t="s">
        <v>667</v>
      </c>
      <c r="D42" s="1" t="s">
        <v>662</v>
      </c>
      <c r="E42" s="5" t="s">
        <v>663</v>
      </c>
      <c r="F42" s="1" t="s">
        <v>664</v>
      </c>
      <c r="G42" s="1" t="s">
        <v>591</v>
      </c>
      <c r="H42" s="1" t="s">
        <v>368</v>
      </c>
    </row>
    <row r="43" spans="1:8" ht="27.6" x14ac:dyDescent="0.3">
      <c r="A43" s="1" t="s">
        <v>668</v>
      </c>
      <c r="B43" s="1" t="s">
        <v>660</v>
      </c>
      <c r="C43" s="5" t="s">
        <v>669</v>
      </c>
      <c r="D43" s="1" t="s">
        <v>662</v>
      </c>
      <c r="E43" s="5" t="s">
        <v>663</v>
      </c>
      <c r="F43" s="1" t="s">
        <v>664</v>
      </c>
      <c r="G43" s="1" t="s">
        <v>591</v>
      </c>
      <c r="H43" s="1" t="s">
        <v>368</v>
      </c>
    </row>
    <row r="44" spans="1:8" ht="27.6" x14ac:dyDescent="0.3">
      <c r="A44" s="1" t="s">
        <v>408</v>
      </c>
      <c r="B44" s="1" t="s">
        <v>660</v>
      </c>
      <c r="C44" s="5" t="s">
        <v>670</v>
      </c>
      <c r="D44" s="1" t="s">
        <v>662</v>
      </c>
      <c r="E44" s="5" t="s">
        <v>663</v>
      </c>
      <c r="F44" s="1" t="s">
        <v>664</v>
      </c>
      <c r="G44" s="1" t="s">
        <v>591</v>
      </c>
      <c r="H44" s="1" t="s">
        <v>368</v>
      </c>
    </row>
    <row r="45" spans="1:8" ht="27.6" x14ac:dyDescent="0.3">
      <c r="A45" s="1" t="s">
        <v>401</v>
      </c>
      <c r="B45" s="1" t="s">
        <v>660</v>
      </c>
      <c r="C45" s="5" t="s">
        <v>671</v>
      </c>
      <c r="D45" s="1" t="s">
        <v>662</v>
      </c>
      <c r="E45" s="5" t="s">
        <v>663</v>
      </c>
      <c r="F45" s="1" t="s">
        <v>664</v>
      </c>
      <c r="G45" s="1" t="s">
        <v>591</v>
      </c>
      <c r="H45" s="1" t="s">
        <v>368</v>
      </c>
    </row>
    <row r="46" spans="1:8" ht="27.6" x14ac:dyDescent="0.3">
      <c r="A46" s="1" t="s">
        <v>672</v>
      </c>
      <c r="B46" s="1" t="s">
        <v>660</v>
      </c>
      <c r="C46" s="5" t="s">
        <v>673</v>
      </c>
      <c r="D46" s="1" t="s">
        <v>662</v>
      </c>
      <c r="E46" s="5" t="s">
        <v>663</v>
      </c>
      <c r="F46" s="1" t="s">
        <v>664</v>
      </c>
      <c r="G46" s="1" t="s">
        <v>591</v>
      </c>
      <c r="H46" s="1" t="s">
        <v>368</v>
      </c>
    </row>
    <row r="47" spans="1:8" ht="27.6" x14ac:dyDescent="0.3">
      <c r="A47" s="1" t="s">
        <v>674</v>
      </c>
      <c r="B47" s="1" t="s">
        <v>660</v>
      </c>
      <c r="C47" s="5" t="s">
        <v>675</v>
      </c>
      <c r="D47" s="1" t="s">
        <v>662</v>
      </c>
      <c r="E47" s="5" t="s">
        <v>663</v>
      </c>
      <c r="F47" s="1" t="s">
        <v>664</v>
      </c>
      <c r="G47" s="1" t="s">
        <v>591</v>
      </c>
      <c r="H47" s="1" t="s">
        <v>368</v>
      </c>
    </row>
    <row r="48" spans="1:8" ht="27.6" x14ac:dyDescent="0.3">
      <c r="A48" s="1" t="s">
        <v>676</v>
      </c>
      <c r="B48" s="1" t="s">
        <v>660</v>
      </c>
      <c r="C48" s="5" t="s">
        <v>677</v>
      </c>
      <c r="D48" s="1" t="s">
        <v>662</v>
      </c>
      <c r="E48" s="5" t="s">
        <v>663</v>
      </c>
      <c r="F48" s="1" t="s">
        <v>664</v>
      </c>
      <c r="G48" s="1" t="s">
        <v>591</v>
      </c>
      <c r="H48" s="1" t="s">
        <v>368</v>
      </c>
    </row>
    <row r="49" spans="1:8" ht="27.6" x14ac:dyDescent="0.3">
      <c r="A49" s="1" t="s">
        <v>678</v>
      </c>
      <c r="B49" s="1" t="s">
        <v>660</v>
      </c>
      <c r="C49" s="5" t="s">
        <v>679</v>
      </c>
      <c r="D49" s="1" t="s">
        <v>662</v>
      </c>
      <c r="E49" s="5" t="s">
        <v>663</v>
      </c>
      <c r="F49" s="1" t="s">
        <v>664</v>
      </c>
      <c r="G49" s="1" t="s">
        <v>591</v>
      </c>
      <c r="H49" s="1" t="s">
        <v>368</v>
      </c>
    </row>
    <row r="50" spans="1:8" ht="27.6" x14ac:dyDescent="0.3">
      <c r="A50" s="1" t="s">
        <v>423</v>
      </c>
      <c r="B50" s="1" t="s">
        <v>660</v>
      </c>
      <c r="C50" s="5" t="s">
        <v>680</v>
      </c>
      <c r="D50" s="1" t="s">
        <v>662</v>
      </c>
      <c r="E50" s="5" t="s">
        <v>663</v>
      </c>
      <c r="F50" s="1" t="s">
        <v>664</v>
      </c>
      <c r="G50" s="1" t="s">
        <v>591</v>
      </c>
      <c r="H50" s="1" t="s">
        <v>368</v>
      </c>
    </row>
    <row r="51" spans="1:8" ht="27.6" x14ac:dyDescent="0.3">
      <c r="A51" s="1" t="s">
        <v>428</v>
      </c>
      <c r="B51" s="1" t="s">
        <v>660</v>
      </c>
      <c r="C51" s="5" t="s">
        <v>681</v>
      </c>
      <c r="D51" s="1" t="s">
        <v>662</v>
      </c>
      <c r="E51" s="5" t="s">
        <v>663</v>
      </c>
      <c r="F51" s="1" t="s">
        <v>664</v>
      </c>
      <c r="G51" s="1" t="s">
        <v>591</v>
      </c>
      <c r="H51" s="1" t="s">
        <v>368</v>
      </c>
    </row>
    <row r="52" spans="1:8" ht="27.6" x14ac:dyDescent="0.3">
      <c r="A52" s="1" t="s">
        <v>432</v>
      </c>
      <c r="B52" s="1" t="s">
        <v>660</v>
      </c>
      <c r="C52" s="5" t="s">
        <v>682</v>
      </c>
      <c r="D52" s="1" t="s">
        <v>662</v>
      </c>
      <c r="E52" s="5" t="s">
        <v>663</v>
      </c>
      <c r="F52" s="1" t="s">
        <v>664</v>
      </c>
      <c r="G52" s="1" t="s">
        <v>591</v>
      </c>
      <c r="H52" s="1" t="s">
        <v>368</v>
      </c>
    </row>
    <row r="53" spans="1:8" ht="27.6" x14ac:dyDescent="0.3">
      <c r="A53" s="1" t="s">
        <v>683</v>
      </c>
      <c r="B53" s="1" t="s">
        <v>660</v>
      </c>
      <c r="C53" s="5" t="s">
        <v>684</v>
      </c>
      <c r="D53" s="1" t="s">
        <v>662</v>
      </c>
      <c r="E53" s="5" t="s">
        <v>663</v>
      </c>
      <c r="F53" s="1" t="s">
        <v>664</v>
      </c>
      <c r="G53" s="1" t="s">
        <v>591</v>
      </c>
      <c r="H53" s="1" t="s">
        <v>368</v>
      </c>
    </row>
    <row r="54" spans="1:8" ht="27.6" x14ac:dyDescent="0.3">
      <c r="A54" s="1" t="s">
        <v>412</v>
      </c>
      <c r="B54" s="1" t="s">
        <v>660</v>
      </c>
      <c r="C54" s="5" t="s">
        <v>685</v>
      </c>
      <c r="D54" s="1" t="s">
        <v>662</v>
      </c>
      <c r="E54" s="5" t="s">
        <v>663</v>
      </c>
      <c r="F54" s="1" t="s">
        <v>664</v>
      </c>
      <c r="G54" s="1" t="s">
        <v>591</v>
      </c>
      <c r="H54" s="1" t="s">
        <v>368</v>
      </c>
    </row>
    <row r="55" spans="1:8" ht="27.6" x14ac:dyDescent="0.3">
      <c r="A55" s="1" t="s">
        <v>686</v>
      </c>
      <c r="B55" s="1" t="s">
        <v>660</v>
      </c>
      <c r="C55" s="5" t="s">
        <v>687</v>
      </c>
      <c r="D55" s="1" t="s">
        <v>662</v>
      </c>
      <c r="E55" s="5" t="s">
        <v>663</v>
      </c>
      <c r="F55" s="1" t="s">
        <v>664</v>
      </c>
      <c r="G55" s="1" t="s">
        <v>591</v>
      </c>
      <c r="H55" s="1" t="s">
        <v>368</v>
      </c>
    </row>
    <row r="56" spans="1:8" ht="27.6" x14ac:dyDescent="0.3">
      <c r="A56" s="1" t="s">
        <v>441</v>
      </c>
      <c r="B56" s="1" t="s">
        <v>660</v>
      </c>
      <c r="C56" s="5" t="s">
        <v>688</v>
      </c>
      <c r="D56" s="1" t="s">
        <v>662</v>
      </c>
      <c r="E56" s="5" t="s">
        <v>663</v>
      </c>
      <c r="F56" s="1" t="s">
        <v>664</v>
      </c>
      <c r="G56" s="1" t="s">
        <v>591</v>
      </c>
      <c r="H56" s="1" t="s">
        <v>368</v>
      </c>
    </row>
    <row r="57" spans="1:8" ht="27.6" x14ac:dyDescent="0.3">
      <c r="A57" s="1" t="s">
        <v>437</v>
      </c>
      <c r="B57" s="1" t="s">
        <v>660</v>
      </c>
      <c r="C57" s="5" t="s">
        <v>689</v>
      </c>
      <c r="D57" s="1" t="s">
        <v>662</v>
      </c>
      <c r="E57" s="5" t="s">
        <v>663</v>
      </c>
      <c r="F57" s="1" t="s">
        <v>664</v>
      </c>
      <c r="G57" s="1" t="s">
        <v>591</v>
      </c>
      <c r="H57" s="1" t="s">
        <v>368</v>
      </c>
    </row>
    <row r="58" spans="1:8" ht="27.6" x14ac:dyDescent="0.3">
      <c r="A58" s="1" t="s">
        <v>690</v>
      </c>
      <c r="B58" s="1" t="s">
        <v>691</v>
      </c>
      <c r="C58" s="5" t="s">
        <v>692</v>
      </c>
      <c r="D58" s="1" t="s">
        <v>693</v>
      </c>
      <c r="E58" s="5" t="s">
        <v>694</v>
      </c>
      <c r="F58" s="1" t="s">
        <v>695</v>
      </c>
      <c r="G58" s="1" t="s">
        <v>591</v>
      </c>
      <c r="H58" s="1" t="s">
        <v>502</v>
      </c>
    </row>
    <row r="59" spans="1:8" ht="27.6" x14ac:dyDescent="0.3">
      <c r="A59" s="1" t="s">
        <v>696</v>
      </c>
      <c r="B59" s="1" t="s">
        <v>691</v>
      </c>
      <c r="C59" s="5" t="s">
        <v>697</v>
      </c>
      <c r="D59" s="1" t="s">
        <v>693</v>
      </c>
      <c r="E59" s="5" t="s">
        <v>694</v>
      </c>
      <c r="F59" s="1" t="s">
        <v>695</v>
      </c>
      <c r="G59" s="1" t="s">
        <v>591</v>
      </c>
      <c r="H59" s="1" t="s">
        <v>502</v>
      </c>
    </row>
    <row r="60" spans="1:8" ht="27.6" x14ac:dyDescent="0.3">
      <c r="A60" s="1" t="s">
        <v>698</v>
      </c>
      <c r="B60" s="1" t="s">
        <v>691</v>
      </c>
      <c r="C60" s="5" t="s">
        <v>699</v>
      </c>
      <c r="D60" s="1" t="s">
        <v>693</v>
      </c>
      <c r="E60" s="5" t="s">
        <v>694</v>
      </c>
      <c r="F60" s="1" t="s">
        <v>695</v>
      </c>
      <c r="G60" s="1" t="s">
        <v>591</v>
      </c>
      <c r="H60" s="1" t="s">
        <v>502</v>
      </c>
    </row>
    <row r="61" spans="1:8" ht="27.6" x14ac:dyDescent="0.3">
      <c r="A61" s="1" t="s">
        <v>700</v>
      </c>
      <c r="B61" s="1" t="s">
        <v>691</v>
      </c>
      <c r="C61" s="5" t="s">
        <v>701</v>
      </c>
      <c r="D61" s="1" t="s">
        <v>693</v>
      </c>
      <c r="E61" s="5" t="s">
        <v>694</v>
      </c>
      <c r="F61" s="1" t="s">
        <v>695</v>
      </c>
      <c r="G61" s="1" t="s">
        <v>591</v>
      </c>
      <c r="H61" s="1" t="s">
        <v>502</v>
      </c>
    </row>
    <row r="62" spans="1:8" ht="27.6" x14ac:dyDescent="0.3">
      <c r="A62" s="1" t="s">
        <v>99</v>
      </c>
      <c r="B62" s="1" t="s">
        <v>691</v>
      </c>
      <c r="C62" s="5" t="s">
        <v>702</v>
      </c>
      <c r="D62" s="1" t="s">
        <v>693</v>
      </c>
      <c r="E62" s="5" t="s">
        <v>694</v>
      </c>
      <c r="F62" s="1" t="s">
        <v>695</v>
      </c>
      <c r="G62" s="1" t="s">
        <v>591</v>
      </c>
      <c r="H62" s="1" t="s">
        <v>502</v>
      </c>
    </row>
    <row r="63" spans="1:8" ht="27.6" x14ac:dyDescent="0.3">
      <c r="A63" s="1" t="s">
        <v>703</v>
      </c>
      <c r="B63" s="1" t="s">
        <v>691</v>
      </c>
      <c r="C63" s="5" t="s">
        <v>704</v>
      </c>
      <c r="D63" s="1" t="s">
        <v>693</v>
      </c>
      <c r="E63" s="5" t="s">
        <v>694</v>
      </c>
      <c r="F63" s="1" t="s">
        <v>695</v>
      </c>
      <c r="G63" s="1" t="s">
        <v>591</v>
      </c>
      <c r="H63" s="1" t="s">
        <v>502</v>
      </c>
    </row>
    <row r="64" spans="1:8" ht="27.6" x14ac:dyDescent="0.3">
      <c r="A64" s="1" t="s">
        <v>453</v>
      </c>
      <c r="B64" s="1" t="s">
        <v>691</v>
      </c>
      <c r="C64" s="5" t="s">
        <v>705</v>
      </c>
      <c r="D64" s="1" t="s">
        <v>693</v>
      </c>
      <c r="E64" s="5" t="s">
        <v>694</v>
      </c>
      <c r="F64" s="1" t="s">
        <v>695</v>
      </c>
      <c r="G64" s="1" t="s">
        <v>591</v>
      </c>
      <c r="H64" s="1" t="s">
        <v>502</v>
      </c>
    </row>
    <row r="65" spans="1:8" ht="27.6" x14ac:dyDescent="0.3">
      <c r="A65" s="1" t="s">
        <v>706</v>
      </c>
      <c r="B65" s="1" t="s">
        <v>691</v>
      </c>
      <c r="C65" s="5" t="s">
        <v>707</v>
      </c>
      <c r="D65" s="1" t="s">
        <v>693</v>
      </c>
      <c r="E65" s="5" t="s">
        <v>694</v>
      </c>
      <c r="F65" s="1" t="s">
        <v>695</v>
      </c>
      <c r="G65" s="1" t="s">
        <v>591</v>
      </c>
      <c r="H65" s="1" t="s">
        <v>502</v>
      </c>
    </row>
    <row r="66" spans="1:8" ht="27.6" x14ac:dyDescent="0.3">
      <c r="A66" s="1" t="s">
        <v>131</v>
      </c>
      <c r="B66" s="1" t="s">
        <v>691</v>
      </c>
      <c r="C66" s="5" t="s">
        <v>708</v>
      </c>
      <c r="D66" s="1" t="s">
        <v>693</v>
      </c>
      <c r="E66" s="5" t="s">
        <v>694</v>
      </c>
      <c r="F66" s="1" t="s">
        <v>695</v>
      </c>
      <c r="G66" s="1" t="s">
        <v>591</v>
      </c>
      <c r="H66" s="1" t="s">
        <v>502</v>
      </c>
    </row>
    <row r="67" spans="1:8" ht="27.6" x14ac:dyDescent="0.3">
      <c r="A67" s="1" t="s">
        <v>86</v>
      </c>
      <c r="B67" s="1" t="s">
        <v>691</v>
      </c>
      <c r="C67" s="5" t="s">
        <v>709</v>
      </c>
      <c r="D67" s="1" t="s">
        <v>693</v>
      </c>
      <c r="E67" s="5" t="s">
        <v>694</v>
      </c>
      <c r="F67" s="1" t="s">
        <v>695</v>
      </c>
      <c r="G67" s="1" t="s">
        <v>591</v>
      </c>
      <c r="H67" s="1" t="s">
        <v>502</v>
      </c>
    </row>
    <row r="68" spans="1:8" ht="27.6" x14ac:dyDescent="0.3">
      <c r="A68" s="1" t="s">
        <v>710</v>
      </c>
      <c r="B68" s="1" t="s">
        <v>691</v>
      </c>
      <c r="C68" s="5" t="s">
        <v>711</v>
      </c>
      <c r="D68" s="1" t="s">
        <v>693</v>
      </c>
      <c r="E68" s="5" t="s">
        <v>694</v>
      </c>
      <c r="F68" s="1" t="s">
        <v>695</v>
      </c>
      <c r="G68" s="1" t="s">
        <v>591</v>
      </c>
      <c r="H68" s="1" t="s">
        <v>502</v>
      </c>
    </row>
    <row r="69" spans="1:8" ht="27.6" x14ac:dyDescent="0.3">
      <c r="A69" s="1" t="s">
        <v>273</v>
      </c>
      <c r="B69" s="1" t="s">
        <v>691</v>
      </c>
      <c r="C69" s="5" t="s">
        <v>712</v>
      </c>
      <c r="D69" s="1" t="s">
        <v>693</v>
      </c>
      <c r="E69" s="5" t="s">
        <v>694</v>
      </c>
      <c r="F69" s="1" t="s">
        <v>695</v>
      </c>
      <c r="G69" s="1" t="s">
        <v>591</v>
      </c>
      <c r="H69" s="1" t="s">
        <v>502</v>
      </c>
    </row>
  </sheetData>
  <dataValidations count="1">
    <dataValidation type="list" allowBlank="1" showInputMessage="1" showErrorMessage="1" sqref="G2:G69" xr:uid="{C7FFA86C-64A0-49F5-B536-77C3D8DCD20C}">
      <formula1>"Planned,In Design,In Build,In Test,Accepted,Deferred"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47A5-C5DF-4587-A963-BB9B95D8765F}">
  <dimension ref="A1:I19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7.33203125" bestFit="1" customWidth="1"/>
    <col min="2" max="2" width="8.109375" bestFit="1" customWidth="1"/>
    <col min="3" max="3" width="61.109375" customWidth="1"/>
    <col min="4" max="4" width="9.21875" bestFit="1" customWidth="1"/>
    <col min="5" max="5" width="21.21875" bestFit="1" customWidth="1"/>
    <col min="6" max="6" width="55.5546875" customWidth="1"/>
    <col min="7" max="7" width="21.6640625" bestFit="1" customWidth="1"/>
    <col min="8" max="8" width="8.77734375" bestFit="1" customWidth="1"/>
    <col min="9" max="9" width="13.44140625" bestFit="1" customWidth="1"/>
  </cols>
  <sheetData>
    <row r="1" spans="1:9" ht="30" customHeight="1" x14ac:dyDescent="0.3">
      <c r="A1" s="1" t="s">
        <v>713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4</v>
      </c>
      <c r="H1" s="1" t="s">
        <v>6</v>
      </c>
      <c r="I1" s="1" t="s">
        <v>719</v>
      </c>
    </row>
    <row r="2" spans="1:9" ht="27.6" x14ac:dyDescent="0.3">
      <c r="A2" s="1" t="s">
        <v>720</v>
      </c>
      <c r="B2" s="1" t="s">
        <v>721</v>
      </c>
      <c r="C2" s="5" t="s">
        <v>722</v>
      </c>
      <c r="D2" s="1" t="s">
        <v>723</v>
      </c>
      <c r="E2" s="1" t="s">
        <v>724</v>
      </c>
      <c r="F2" s="5" t="s">
        <v>725</v>
      </c>
      <c r="G2" s="1" t="s">
        <v>46</v>
      </c>
      <c r="H2" s="1" t="s">
        <v>726</v>
      </c>
      <c r="I2" s="1">
        <v>0.6</v>
      </c>
    </row>
    <row r="3" spans="1:9" ht="27.6" x14ac:dyDescent="0.3">
      <c r="A3" s="1" t="s">
        <v>727</v>
      </c>
      <c r="B3" s="1" t="s">
        <v>721</v>
      </c>
      <c r="C3" s="5" t="s">
        <v>728</v>
      </c>
      <c r="D3" s="1" t="s">
        <v>723</v>
      </c>
      <c r="E3" s="1" t="s">
        <v>724</v>
      </c>
      <c r="F3" s="5" t="s">
        <v>729</v>
      </c>
      <c r="G3" s="1" t="s">
        <v>54</v>
      </c>
      <c r="H3" s="1" t="s">
        <v>726</v>
      </c>
      <c r="I3" s="1" t="s">
        <v>730</v>
      </c>
    </row>
    <row r="4" spans="1:9" ht="27.6" x14ac:dyDescent="0.3">
      <c r="A4" s="1" t="s">
        <v>731</v>
      </c>
      <c r="B4" s="1" t="s">
        <v>721</v>
      </c>
      <c r="C4" s="5" t="s">
        <v>732</v>
      </c>
      <c r="D4" s="1" t="s">
        <v>723</v>
      </c>
      <c r="E4" s="1" t="s">
        <v>724</v>
      </c>
      <c r="F4" s="5" t="s">
        <v>733</v>
      </c>
      <c r="G4" s="1" t="s">
        <v>238</v>
      </c>
      <c r="H4" s="1" t="s">
        <v>726</v>
      </c>
      <c r="I4" s="1" t="s">
        <v>734</v>
      </c>
    </row>
    <row r="5" spans="1:9" ht="27.6" x14ac:dyDescent="0.3">
      <c r="A5" s="1" t="s">
        <v>735</v>
      </c>
      <c r="B5" s="1" t="s">
        <v>721</v>
      </c>
      <c r="C5" s="5" t="s">
        <v>736</v>
      </c>
      <c r="D5" s="1" t="s">
        <v>723</v>
      </c>
      <c r="E5" s="1" t="s">
        <v>724</v>
      </c>
      <c r="F5" s="5" t="s">
        <v>737</v>
      </c>
      <c r="G5" s="1" t="s">
        <v>738</v>
      </c>
      <c r="H5" s="1" t="s">
        <v>726</v>
      </c>
      <c r="I5" s="1" t="s">
        <v>739</v>
      </c>
    </row>
    <row r="6" spans="1:9" ht="27.6" x14ac:dyDescent="0.3">
      <c r="A6" s="1" t="s">
        <v>740</v>
      </c>
      <c r="B6" s="1" t="s">
        <v>721</v>
      </c>
      <c r="C6" s="5" t="s">
        <v>741</v>
      </c>
      <c r="D6" s="1" t="s">
        <v>723</v>
      </c>
      <c r="E6" s="1" t="s">
        <v>724</v>
      </c>
      <c r="F6" s="5" t="s">
        <v>742</v>
      </c>
      <c r="G6" s="1" t="s">
        <v>12</v>
      </c>
      <c r="H6" s="1" t="s">
        <v>726</v>
      </c>
      <c r="I6" s="1" t="s">
        <v>743</v>
      </c>
    </row>
    <row r="7" spans="1:9" ht="27.6" x14ac:dyDescent="0.3">
      <c r="A7" s="1" t="s">
        <v>744</v>
      </c>
      <c r="B7" s="1" t="s">
        <v>721</v>
      </c>
      <c r="C7" s="5" t="s">
        <v>745</v>
      </c>
      <c r="D7" s="1" t="s">
        <v>723</v>
      </c>
      <c r="E7" s="1" t="s">
        <v>724</v>
      </c>
      <c r="F7" s="5" t="s">
        <v>746</v>
      </c>
      <c r="G7" s="1" t="s">
        <v>747</v>
      </c>
      <c r="H7" s="1" t="s">
        <v>726</v>
      </c>
      <c r="I7" s="1" t="s">
        <v>748</v>
      </c>
    </row>
    <row r="8" spans="1:9" x14ac:dyDescent="0.3">
      <c r="A8" s="1" t="s">
        <v>749</v>
      </c>
      <c r="B8" s="1" t="s">
        <v>721</v>
      </c>
      <c r="C8" s="5" t="s">
        <v>750</v>
      </c>
      <c r="D8" s="1" t="s">
        <v>723</v>
      </c>
      <c r="E8" s="1" t="s">
        <v>724</v>
      </c>
      <c r="F8" s="5" t="s">
        <v>751</v>
      </c>
      <c r="G8" s="1" t="s">
        <v>129</v>
      </c>
      <c r="H8" s="1" t="s">
        <v>726</v>
      </c>
      <c r="I8" s="1" t="s">
        <v>752</v>
      </c>
    </row>
    <row r="9" spans="1:9" x14ac:dyDescent="0.3">
      <c r="A9" s="1" t="s">
        <v>753</v>
      </c>
      <c r="B9" s="1" t="s">
        <v>721</v>
      </c>
      <c r="C9" s="5" t="s">
        <v>754</v>
      </c>
      <c r="D9" s="1" t="s">
        <v>723</v>
      </c>
      <c r="E9" s="1" t="s">
        <v>724</v>
      </c>
      <c r="F9" s="5" t="s">
        <v>755</v>
      </c>
      <c r="G9" s="1" t="s">
        <v>42</v>
      </c>
      <c r="H9" s="1" t="s">
        <v>726</v>
      </c>
      <c r="I9" s="1">
        <v>0.5</v>
      </c>
    </row>
    <row r="10" spans="1:9" x14ac:dyDescent="0.3">
      <c r="A10" s="1" t="s">
        <v>43</v>
      </c>
      <c r="B10" s="1" t="s">
        <v>756</v>
      </c>
      <c r="C10" s="5" t="s">
        <v>757</v>
      </c>
      <c r="D10" s="1" t="s">
        <v>723</v>
      </c>
      <c r="E10" s="1" t="s">
        <v>758</v>
      </c>
      <c r="F10" s="5" t="s">
        <v>759</v>
      </c>
      <c r="G10" s="1" t="s">
        <v>42</v>
      </c>
      <c r="H10" s="1" t="s">
        <v>760</v>
      </c>
      <c r="I10" s="1">
        <v>0.5</v>
      </c>
    </row>
    <row r="11" spans="1:9" x14ac:dyDescent="0.3">
      <c r="A11" s="1" t="s">
        <v>761</v>
      </c>
      <c r="B11" s="1" t="s">
        <v>756</v>
      </c>
      <c r="C11" s="5" t="s">
        <v>762</v>
      </c>
      <c r="D11" s="1" t="s">
        <v>723</v>
      </c>
      <c r="E11" s="1" t="s">
        <v>758</v>
      </c>
      <c r="F11" s="5" t="s">
        <v>763</v>
      </c>
      <c r="G11" s="1" t="s">
        <v>764</v>
      </c>
      <c r="H11" s="1" t="s">
        <v>760</v>
      </c>
      <c r="I11" s="1">
        <v>0.6</v>
      </c>
    </row>
    <row r="12" spans="1:9" x14ac:dyDescent="0.3">
      <c r="A12" s="1" t="s">
        <v>51</v>
      </c>
      <c r="B12" s="1" t="s">
        <v>756</v>
      </c>
      <c r="C12" s="5" t="s">
        <v>765</v>
      </c>
      <c r="D12" s="1" t="s">
        <v>723</v>
      </c>
      <c r="E12" s="1" t="s">
        <v>758</v>
      </c>
      <c r="F12" s="5" t="s">
        <v>766</v>
      </c>
      <c r="G12" s="1" t="s">
        <v>767</v>
      </c>
      <c r="H12" s="1" t="s">
        <v>760</v>
      </c>
      <c r="I12" s="1">
        <v>0.7</v>
      </c>
    </row>
    <row r="13" spans="1:9" x14ac:dyDescent="0.3">
      <c r="A13" s="1" t="s">
        <v>55</v>
      </c>
      <c r="B13" s="1" t="s">
        <v>756</v>
      </c>
      <c r="C13" s="5" t="s">
        <v>768</v>
      </c>
      <c r="D13" s="1" t="s">
        <v>723</v>
      </c>
      <c r="E13" s="1" t="s">
        <v>758</v>
      </c>
      <c r="F13" s="5" t="s">
        <v>769</v>
      </c>
      <c r="G13" s="1" t="s">
        <v>770</v>
      </c>
      <c r="H13" s="1" t="s">
        <v>760</v>
      </c>
      <c r="I13" s="1">
        <v>0.8</v>
      </c>
    </row>
    <row r="14" spans="1:9" x14ac:dyDescent="0.3">
      <c r="A14" s="1" t="s">
        <v>59</v>
      </c>
      <c r="B14" s="1" t="s">
        <v>756</v>
      </c>
      <c r="C14" s="5" t="s">
        <v>771</v>
      </c>
      <c r="D14" s="1" t="s">
        <v>723</v>
      </c>
      <c r="E14" s="1" t="s">
        <v>758</v>
      </c>
      <c r="F14" s="5" t="s">
        <v>772</v>
      </c>
      <c r="G14" s="1" t="s">
        <v>773</v>
      </c>
      <c r="H14" s="1" t="s">
        <v>760</v>
      </c>
      <c r="I14" s="1">
        <v>0.9</v>
      </c>
    </row>
    <row r="15" spans="1:9" x14ac:dyDescent="0.3">
      <c r="A15" s="1" t="s">
        <v>63</v>
      </c>
      <c r="B15" s="1" t="s">
        <v>756</v>
      </c>
      <c r="C15" s="5" t="s">
        <v>774</v>
      </c>
      <c r="D15" s="1" t="s">
        <v>723</v>
      </c>
      <c r="E15" s="1" t="s">
        <v>758</v>
      </c>
      <c r="F15" s="5" t="s">
        <v>775</v>
      </c>
      <c r="G15" s="1" t="s">
        <v>776</v>
      </c>
      <c r="H15" s="1" t="s">
        <v>760</v>
      </c>
      <c r="I15" s="1">
        <v>0.1</v>
      </c>
    </row>
    <row r="16" spans="1:9" x14ac:dyDescent="0.3">
      <c r="A16" s="1" t="s">
        <v>777</v>
      </c>
      <c r="B16" s="1" t="s">
        <v>756</v>
      </c>
      <c r="C16" s="5" t="s">
        <v>778</v>
      </c>
      <c r="D16" s="1" t="s">
        <v>723</v>
      </c>
      <c r="E16" s="1" t="s">
        <v>758</v>
      </c>
      <c r="F16" s="5" t="s">
        <v>779</v>
      </c>
      <c r="G16" s="1" t="s">
        <v>780</v>
      </c>
      <c r="H16" s="1" t="s">
        <v>760</v>
      </c>
      <c r="I16" s="1">
        <v>0.11</v>
      </c>
    </row>
    <row r="17" spans="1:9" x14ac:dyDescent="0.3">
      <c r="A17" s="1" t="s">
        <v>781</v>
      </c>
      <c r="B17" s="1" t="s">
        <v>756</v>
      </c>
      <c r="C17" s="5" t="s">
        <v>782</v>
      </c>
      <c r="D17" s="1" t="s">
        <v>723</v>
      </c>
      <c r="E17" s="1" t="s">
        <v>758</v>
      </c>
      <c r="F17" s="5" t="s">
        <v>783</v>
      </c>
      <c r="G17" s="1" t="s">
        <v>635</v>
      </c>
      <c r="H17" s="1" t="s">
        <v>760</v>
      </c>
      <c r="I17" s="1">
        <v>0.11</v>
      </c>
    </row>
    <row r="18" spans="1:9" ht="27.6" x14ac:dyDescent="0.3">
      <c r="A18" s="1" t="s">
        <v>784</v>
      </c>
      <c r="B18" s="1" t="s">
        <v>756</v>
      </c>
      <c r="C18" s="5" t="s">
        <v>785</v>
      </c>
      <c r="D18" s="1" t="s">
        <v>723</v>
      </c>
      <c r="E18" s="1" t="s">
        <v>758</v>
      </c>
      <c r="F18" s="5" t="s">
        <v>786</v>
      </c>
      <c r="G18" s="1" t="s">
        <v>787</v>
      </c>
      <c r="H18" s="1" t="s">
        <v>760</v>
      </c>
      <c r="I18" s="1">
        <v>0.6</v>
      </c>
    </row>
    <row r="19" spans="1:9" x14ac:dyDescent="0.3">
      <c r="A19" s="1" t="s">
        <v>788</v>
      </c>
      <c r="B19" s="1" t="s">
        <v>756</v>
      </c>
      <c r="C19" s="5" t="s">
        <v>789</v>
      </c>
      <c r="D19" s="1" t="s">
        <v>723</v>
      </c>
      <c r="E19" s="1" t="s">
        <v>758</v>
      </c>
      <c r="F19" s="5" t="s">
        <v>790</v>
      </c>
      <c r="G19" s="1" t="s">
        <v>791</v>
      </c>
      <c r="H19" s="1" t="s">
        <v>760</v>
      </c>
      <c r="I19" s="1">
        <v>0.12</v>
      </c>
    </row>
  </sheetData>
  <conditionalFormatting sqref="D2:D19">
    <cfRule type="expression" dxfId="0" priority="1">
      <formula>$D2="High"</formula>
    </cfRule>
  </conditionalFormatting>
  <dataValidations count="1">
    <dataValidation type="list" allowBlank="1" showInputMessage="1" showErrorMessage="1" sqref="H2:H19" xr:uid="{9CE79CD8-7707-4A70-8A70-04F31862DC09}">
      <formula1>"Open,Due,In Progress,Mitigated,Closed,Accepted"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Broker Portal Project Plan</vt:lpstr>
      <vt:lpstr>Project Overview</vt:lpstr>
      <vt:lpstr>Requirements Traceability</vt:lpstr>
      <vt:lpstr>RAID &amp; Decisions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 Kishan</dc:creator>
  <cp:keywords/>
  <dc:description/>
  <cp:lastModifiedBy>Manivannan Nandagopalan</cp:lastModifiedBy>
  <cp:revision/>
  <dcterms:created xsi:type="dcterms:W3CDTF">2026-09-23T14:28:04Z</dcterms:created>
  <dcterms:modified xsi:type="dcterms:W3CDTF">2026-09-24T18:11:33Z</dcterms:modified>
  <cp:category/>
  <cp:contentStatus/>
</cp:coreProperties>
</file>